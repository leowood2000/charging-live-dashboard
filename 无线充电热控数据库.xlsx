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881309d4d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df4a7b5d2634b55"/>
    <x:sheet xmlns:r="http://schemas.openxmlformats.org/officeDocument/2006/relationships" name="等级电流表" sheetId="2" r:id="R223206580ca1448b"/>
    <x:sheet xmlns:r="http://schemas.openxmlformats.org/officeDocument/2006/relationships" name="normal场景" sheetId="3" r:id="R494523b385194a63"/>
    <x:sheet xmlns:r="http://schemas.openxmlformats.org/officeDocument/2006/relationships" name="charge场景" sheetId="4" r:id="Re4438915764743c2"/>
    <x:sheet xmlns:r="http://schemas.openxmlformats.org/officeDocument/2006/relationships" name="场景对比" sheetId="5" r:id="R0898c6e6d20d44af"/>
    <x:sheet xmlns:r="http://schemas.openxmlformats.org/officeDocument/2006/relationships" name="虚拟温度公式" sheetId="6" r:id="R2c86cd62024f4f40"/>
    <x:sheet xmlns:r="http://schemas.openxmlformats.org/officeDocument/2006/relationships" name="场景清单" sheetId="7" r:id="R9faf3c0d9049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&quot; mA&quot;"/>
    <x:numFmt numFmtId="202" formatCode="0.0&quot; W&quot;"/>
    <x:numFmt numFmtId="203" formatCode="0.0&quot;°C&quot;"/>
    <x:numFmt numFmtId="204" formatCode="#,##0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04040"/>
      <x:name val="Carlito"/>
    </x:font>
    <x:font>
      <x:b/>
      <x:sz val="12"/>
      <x:color rgb="FF1F4E79"/>
      <x:name val="Carlito"/>
    </x:font>
    <x:font>
      <x:b/>
      <x:sz val="14"/>
      <x:color rgb="FF1F4E79"/>
      <x:name val="Carlito"/>
    </x:font>
    <x:font>
      <x:sz val="10"/>
      <x:color rgb="FF59595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  <x:fill>
      <x:patternFill patternType="solid">
        <x:fgColor rgb="FFF2F7FB"/>
      </x:patternFill>
    </x:fill>
  </x:fills>
  <x:borders count="4">
    <x:border/>
    <x:border>
      <x:left style="medium">
        <x:color rgb="FF2E75B6"/>
      </x:left>
      <x:right style="medium">
        <x:color rgb="FF2E75B6"/>
      </x:right>
      <x:top style="medium">
        <x:color rgb="FF2E75B6"/>
      </x:top>
      <x:bottom style="medium">
        <x:color rgb="FF2E75B6"/>
      </x:bottom>
    </x:border>
    <x:border>
      <x:left style="thin">
        <x:color rgb="FFA9B7C6"/>
      </x:left>
      <x:right style="thin">
        <x:color rgb="FFA9B7C6"/>
      </x:right>
      <x:top style="thin">
        <x:color rgb="FFA9B7C6"/>
      </x:top>
      <x:bottom style="thin">
        <x:color rgb="FFA9B7C6"/>
      </x:bottom>
    </x:border>
    <x:border>
      <x:left style="hair">
        <x:color rgb="FFD6DCE4"/>
      </x:left>
      <x:right style="hair">
        <x:color rgb="FFD6DCE4"/>
      </x:right>
      <x:top style="hair">
        <x:color rgb="FFD6DCE4"/>
      </x:top>
      <x:bottom style="hair">
        <x:color rgb="FFD6DCE4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2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6" fillId="4" borderId="2" xfId="0" applyNumberFormat="1" applyFont="1" applyFill="1" applyBorder="1" applyAlignment="1">
      <x:alignment horizontal="right" vertical="center"/>
    </x:xf>
    <x:xf numFmtId="200" fontId="0" fillId="0" borderId="3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 applyAlignment="1">
      <x:alignment horizontal="right"/>
    </x:xf>
    <x:xf numFmtId="202" fontId="0" fillId="0" borderId="3" xfId="0" applyNumberFormat="1" applyFont="1" applyFill="1" applyBorder="1" applyAlignment="1">
      <x:alignment horizontal="right"/>
    </x:xf>
    <x:xf numFmtId="203" fontId="0" fillId="5" borderId="3" xfId="0" applyNumberFormat="1" applyFont="1" applyFill="1" applyBorder="1" applyAlignment="1">
      <x:alignment horizontal="right"/>
    </x:xf>
    <x:xf numFmtId="200" fontId="0" fillId="5" borderId="3" xfId="0" applyNumberFormat="1" applyFont="1" applyFill="1" applyBorder="1" applyAlignment="1">
      <x:alignment horizontal="right"/>
    </x:xf>
    <x:xf numFmtId="201" fontId="0" fillId="5" borderId="3" xfId="0" applyNumberFormat="1" applyFont="1" applyFill="1" applyBorder="1" applyAlignment="1">
      <x:alignment horizontal="right"/>
    </x:xf>
    <x:xf numFmtId="202" fontId="0" fillId="5" borderId="3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  <x:xf numFmtId="203" fontId="0" fillId="0" borderId="0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left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92d1dec25495e" /><Relationship Type="http://schemas.openxmlformats.org/officeDocument/2006/relationships/theme" Target="/xl/theme/theme1.xml" Id="Rab21fb1cf3ff4cef" /><Relationship Type="http://schemas.openxmlformats.org/officeDocument/2006/relationships/sharedStrings" Target="/xl/sharedStrings.xml" Id="Rd0480f57d9ef4514" /><Relationship Type="http://schemas.openxmlformats.org/officeDocument/2006/relationships/worksheet" Target="/xl/worksheets/sheet1.xml" Id="R6df4a7b5d2634b55" /><Relationship Type="http://schemas.openxmlformats.org/officeDocument/2006/relationships/worksheet" Target="/xl/worksheets/sheet2.xml" Id="R223206580ca1448b" /><Relationship Type="http://schemas.openxmlformats.org/officeDocument/2006/relationships/worksheet" Target="/xl/worksheets/sheet3.xml" Id="R494523b385194a63" /><Relationship Type="http://schemas.openxmlformats.org/officeDocument/2006/relationships/worksheet" Target="/xl/worksheets/sheet4.xml" Id="Re4438915764743c2" /><Relationship Type="http://schemas.openxmlformats.org/officeDocument/2006/relationships/worksheet" Target="/xl/worksheets/sheet5.xml" Id="R0898c6e6d20d44af" /><Relationship Type="http://schemas.openxmlformats.org/officeDocument/2006/relationships/worksheet" Target="/xl/worksheets/sheet6.xml" Id="R2c86cd62024f4f40" /><Relationship Type="http://schemas.openxmlformats.org/officeDocument/2006/relationships/worksheet" Target="/xl/worksheets/sheet7.xml" Id="R9faf3c0d9049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5.25" hidden="0" customWidth="1"/>
    <x:col min="2" max="2" width="85.25" hidden="0" customWidth="1"/>
    <x:col min="3" max="3" width="85.25" hidden="0" customWidth="1"/>
    <x:col min="4" max="4" width="85.25" hidden="0" customWidth="1"/>
    <x:col min="5" max="5" width="85.25" hidden="0" customWidth="1"/>
    <x:col min="6" max="6" width="85.25" hidden="0" customWidth="1"/>
  </x:cols>
  <x:sheetData>
    <x:row r="1" ht="28" customHeight="1">
      <x:c r="A1" s="4" t="str">
        <x:v>K80 Pro 无线充电热控数据库（miro / HyperOS）</x:v>
      </x:c>
      <x:c r="B1" s="4" t="str">
        <x:v>K80 Pro 无线充电热控数据库（miro / HyperOS）</x:v>
      </x:c>
      <x:c r="C1" s="4" t="str">
        <x:v>K80 Pro 无线充电热控数据库（miro / HyperOS）</x:v>
      </x:c>
      <x:c r="D1" s="4" t="str">
        <x:v>K80 Pro 无线充电热控数据库（miro / HyperOS）</x:v>
      </x:c>
      <x:c r="E1" s="4" t="str">
        <x:v>K80 Pro 无线充电热控数据库（miro / HyperOS）</x:v>
      </x:c>
      <x:c r="F1" s="4" t="str">
        <x:v>K80 Pro 无线充电热控数据库（miro / HyperOS）</x:v>
      </x:c>
    </x:row>
    <x:row r="3">
      <x:c r="A3" s="5" t="str">
        <x:v>虚拟温度 → 等级 → 电流上限，覆盖全部充电场景</x:v>
      </x:c>
      <x:c r="B3" s="5" t="str">
        <x:v>虚拟温度 → 等级 → 电流上限，覆盖全部充电场景</x:v>
      </x:c>
      <x:c r="C3" s="5" t="str">
        <x:v>虚拟温度 → 等级 → 电流上限，覆盖全部充电场景</x:v>
      </x:c>
      <x:c r="D3" s="5" t="str">
        <x:v>虚拟温度 → 等级 → 电流上限，覆盖全部充电场景</x:v>
      </x:c>
      <x:c r="E3" s="5" t="str">
        <x:v>虚拟温度 → 等级 → 电流上限，覆盖全部充电场景</x:v>
      </x:c>
      <x:c r="F3" s="5" t="str">
        <x:v>虚拟温度 → 等级 → 电流上限，覆盖全部充电场景</x:v>
      </x:c>
    </x:row>
    <x:row r="5">
      <x:c r="A5" s="10" t="str">
        <x:v>热控等级</x:v>
      </x:c>
      <x:c r="B5" s="10" t="str">
        <x:v>normal 首档触发</x:v>
      </x:c>
      <x:c r="C5" s="10" t="str">
        <x:v>30W@等级3</x:v>
      </x:c>
      <x:c r="D5" s="10" t="str">
        <x:v>场景数</x:v>
      </x:c>
      <x:c r="E5" s="10" t="str">
        <x:v>温度来源</x:v>
      </x:c>
    </x:row>
    <x:row r="6">
      <x:c r="A6" s="14" t="str">
        <x:v>15 级</x:v>
      </x:c>
      <x:c r="B6" s="14" t="str">
        <x:v>34.0°C</x:v>
      </x:c>
      <x:c r="C6" s="14" t="str">
        <x:v>3400 mA / 13.6 W</x:v>
      </x:c>
      <x:c r="D6" s="14" t="str">
        <x:v>117 个</x:v>
      </x:c>
      <x:c r="E6" s="14" t="str">
        <x:v>虚拟皮肤温度</x:v>
      </x:c>
    </x:row>
    <x:row r="7">
      <x:c r="A7" s="16" t="str">
        <x:v>等级 1=最宽松，15=最严格</x:v>
      </x:c>
      <x:c r="B7" s="16" t="str">
        <x:v>虚拟皮肤温度 ≥34°C 进入等级 3</x:v>
      </x:c>
      <x:c r="C7" s="16" t="str">
        <x:v>08-03 实测命中该档</x:v>
      </x:c>
      <x:c r="D7" s="16" t="str">
        <x:v>thermal-map.conf 索引</x:v>
      </x:c>
      <x:c r="E7" s="16" t="str">
        <x:v>5 方向加权平均，非单传感器</x:v>
      </x:c>
    </x:row>
    <x:row r="9">
      <x:c r="A9" s="17" t="str">
        <x:v>完整链路</x:v>
      </x:c>
      <x:c r="B9" s="17" t="str">
        <x:v>完整链路</x:v>
      </x:c>
      <x:c r="C9" s="17" t="str">
        <x:v>完整链路</x:v>
      </x:c>
      <x:c r="D9" s="17" t="str">
        <x:v>完整链路</x:v>
      </x:c>
      <x:c r="E9" s="17" t="str">
        <x:v>完整链路</x:v>
      </x:c>
      <x:c r="F9" s="17" t="str">
        <x:v>完整链路</x:v>
      </x:c>
    </x:row>
    <x:row r="10">
      <x:c r="A10" s="18" t="str">
        <x:v>1. 物理传感器：battery / pa_therm1 / pa_therm2 / charger_therm1 / cpu_therm / quiet_therm / wifi_therm</x:v>
      </x:c>
      <x:c r="B10" s="18" t="str">
        <x:v>1. 物理传感器：battery / pa_therm1 / pa_therm2 / charger_therm1 / cpu_therm / quiet_therm / wifi_therm</x:v>
      </x:c>
      <x:c r="C10" s="18" t="str">
        <x:v>1. 物理传感器：battery / pa_therm1 / pa_therm2 / charger_therm1 / cpu_therm / quiet_therm / wifi_therm</x:v>
      </x:c>
      <x:c r="D10" s="18" t="str">
        <x:v>1. 物理传感器：battery / pa_therm1 / pa_therm2 / charger_therm1 / cpu_therm / quiet_therm / wifi_therm</x:v>
      </x:c>
      <x:c r="E10" s="18" t="str">
        <x:v>1. 物理传感器：battery / pa_therm1 / pa_therm2 / charger_therm1 / cpu_therm / quiet_therm / wifi_therm</x:v>
      </x:c>
      <x:c r="F10" s="18" t="str">
        <x:v>1. 物理传感器：battery / pa_therm1 / pa_therm2 / charger_therm1 / cpu_therm / quiet_therm / wifi_therm</x:v>
      </x:c>
    </x:row>
    <x:row r="11">
      <x:c r="A11" s="18" t="str">
        <x:v>2. 加权合成 5 个方向虚拟温度（前/后/左/右/顶），再平均 → VIRTUAL-SENSOR-FORMULA</x:v>
      </x:c>
      <x:c r="B11" s="18" t="str">
        <x:v>2. 加权合成 5 个方向虚拟温度（前/后/左/右/顶），再平均 → VIRTUAL-SENSOR-FORMULA</x:v>
      </x:c>
      <x:c r="C11" s="18" t="str">
        <x:v>2. 加权合成 5 个方向虚拟温度（前/后/左/右/顶），再平均 → VIRTUAL-SENSOR-FORMULA</x:v>
      </x:c>
      <x:c r="D11" s="18" t="str">
        <x:v>2. 加权合成 5 个方向虚拟温度（前/后/左/右/顶），再平均 → VIRTUAL-SENSOR-FORMULA</x:v>
      </x:c>
      <x:c r="E11" s="18" t="str">
        <x:v>2. 加权合成 5 个方向虚拟温度（前/后/左/右/顶），再平均 → VIRTUAL-SENSOR-FORMULA</x:v>
      </x:c>
      <x:c r="F11" s="18" t="str">
        <x:v>2. 加权合成 5 个方向虚拟温度（前/后/左/右/顶），再平均 → VIRTUAL-SENSOR-FORMULA</x:v>
      </x:c>
    </x:row>
    <x:row r="12">
      <x:c r="A12" s="18" t="str">
        <x:v>3. thermal-engine 按当前场景查阈值 → 写入 wireless_ctrl_limit（等级）</x:v>
      </x:c>
      <x:c r="B12" s="18" t="str">
        <x:v>3. thermal-engine 按当前场景查阈值 → 写入 wireless_ctrl_limit（等级）</x:v>
      </x:c>
      <x:c r="C12" s="18" t="str">
        <x:v>3. thermal-engine 按当前场景查阈值 → 写入 wireless_ctrl_limit（等级）</x:v>
      </x:c>
      <x:c r="D12" s="18" t="str">
        <x:v>3. thermal-engine 按当前场景查阈值 → 写入 wireless_ctrl_limit（等级）</x:v>
      </x:c>
      <x:c r="E12" s="18" t="str">
        <x:v>3. thermal-engine 按当前场景查阈值 → 写入 wireless_ctrl_limit（等级）</x:v>
      </x:c>
      <x:c r="F12" s="18" t="str">
        <x:v>3. thermal-engine 按当前场景查阈值 → 写入 wireless_ctrl_limit（等级）</x:v>
      </x:c>
    </x:row>
    <x:row r="13">
      <x:c r="A13" s="18" t="str">
        <x:v>4. 驱动按等级查 wireless_thermal 表 → 各档位 voter 投电流（如 wireless_thermal_30w）</x:v>
      </x:c>
      <x:c r="B13" s="18" t="str">
        <x:v>4. 驱动按等级查 wireless_thermal 表 → 各档位 voter 投电流（如 wireless_thermal_30w）</x:v>
      </x:c>
      <x:c r="C13" s="18" t="str">
        <x:v>4. 驱动按等级查 wireless_thermal 表 → 各档位 voter 投电流（如 wireless_thermal_30w）</x:v>
      </x:c>
      <x:c r="D13" s="18" t="str">
        <x:v>4. 驱动按等级查 wireless_thermal 表 → 各档位 voter 投电流（如 wireless_thermal_30w）</x:v>
      </x:c>
      <x:c r="E13" s="18" t="str">
        <x:v>4. 驱动按等级查 wireless_thermal 表 → 各档位 voter 投电流（如 wireless_thermal_30w）</x:v>
      </x:c>
      <x:c r="F13" s="18" t="str">
        <x:v>4. 驱动按等级查 wireless_thermal 表 → 各档位 voter 投电流（如 wireless_thermal_30w）</x:v>
      </x:c>
    </x:row>
    <x:row r="14">
      <x:c r="A14" s="18" t="str">
        <x:v>5. MCA 取最低激活票为生效值 → 实际限流</x:v>
      </x:c>
      <x:c r="B14" s="18" t="str">
        <x:v>5. MCA 取最低激活票为生效值 → 实际限流</x:v>
      </x:c>
      <x:c r="C14" s="18" t="str">
        <x:v>5. MCA 取最低激活票为生效值 → 实际限流</x:v>
      </x:c>
      <x:c r="D14" s="18" t="str">
        <x:v>5. MCA 取最低激活票为生效值 → 实际限流</x:v>
      </x:c>
      <x:c r="E14" s="18" t="str">
        <x:v>5. MCA 取最低激活票为生效值 → 实际限流</x:v>
      </x:c>
      <x:c r="F14" s="18" t="str">
        <x:v>5. MCA 取最低激活票为生效值 → 实际限流</x:v>
      </x:c>
    </x:row>
    <x:row r="16">
      <x:c r="A16" s="17" t="str">
        <x:v>数据来源</x:v>
      </x:c>
      <x:c r="B16" s="17" t="str">
        <x:v>数据来源</x:v>
      </x:c>
      <x:c r="C16" s="17" t="str">
        <x:v>数据来源</x:v>
      </x:c>
      <x:c r="D16" s="17" t="str">
        <x:v>数据来源</x:v>
      </x:c>
      <x:c r="E16" s="17" t="str">
        <x:v>数据来源</x:v>
      </x:c>
      <x:c r="F16" s="17" t="str">
        <x:v>数据来源</x:v>
      </x:c>
    </x:row>
    <x:row r="17">
      <x:c r="A17" s="15" t="str">
        <x:v>等级→电流：设备树 mca_charger_thermal/wireless_thermal</x:v>
      </x:c>
      <x:c r="B17" s="15" t="str">
        <x:v>等级→电流：设备树 mca_charger_thermal/wireless_thermal</x:v>
      </x:c>
      <x:c r="C17" s="15" t="str">
        <x:v>等级→电流：设备树 mca_charger_thermal/wireless_thermal</x:v>
      </x:c>
      <x:c r="D17" s="15" t="str">
        <x:v>等级→电流：设备树 mca_charger_thermal/wireless_thermal</x:v>
      </x:c>
      <x:c r="E17" s="15" t="str">
        <x:v>等级→电流：设备树 mca_charger_thermal/wireless_thermal</x:v>
      </x:c>
      <x:c r="F17" s="15" t="str">
        <x:v>等级→电流：设备树 mca_charger_thermal/wireless_thermal</x:v>
      </x:c>
    </x:row>
    <x:row r="18">
      <x:c r="A18" s="15" t="str">
        <x:v>温度→等级：/vendor/etc/thermal-map.conf + /odm/etc/thermal-*.conf（AES-128-CBC 解密，key/IV = thermalopenssl.h）</x:v>
      </x:c>
      <x:c r="B18" s="15" t="str">
        <x:v>温度→等级：/vendor/etc/thermal-map.conf + /odm/etc/thermal-*.conf（AES-128-CBC 解密，key/IV = thermalopenssl.h）</x:v>
      </x:c>
      <x:c r="C18" s="15" t="str">
        <x:v>温度→等级：/vendor/etc/thermal-map.conf + /odm/etc/thermal-*.conf（AES-128-CBC 解密，key/IV = thermalopenssl.h）</x:v>
      </x:c>
      <x:c r="D18" s="15" t="str">
        <x:v>温度→等级：/vendor/etc/thermal-map.conf + /odm/etc/thermal-*.conf（AES-128-CBC 解密，key/IV = thermalopenssl.h）</x:v>
      </x:c>
      <x:c r="E18" s="15" t="str">
        <x:v>温度→等级：/vendor/etc/thermal-map.conf + /odm/etc/thermal-*.conf（AES-128-CBC 解密，key/IV = thermalopenssl.h）</x:v>
      </x:c>
      <x:c r="F18" s="15" t="str">
        <x:v>温度→等级：/vendor/etc/thermal-map.conf + /odm/etc/thermal-*.conf（AES-128-CBC 解密，key/IV = thermalopenssl.h）</x:v>
      </x:c>
    </x:row>
    <x:row r="19">
      <x:c r="A19" s="15" t="str">
        <x:v>工具：helloklf/vtools mi-thermal-config / hdzungx/ThermalMunch</x:v>
      </x:c>
      <x:c r="B19" s="15" t="str">
        <x:v>工具：helloklf/vtools mi-thermal-config / hdzungx/ThermalMunch</x:v>
      </x:c>
      <x:c r="C19" s="15" t="str">
        <x:v>工具：helloklf/vtools mi-thermal-config / hdzungx/ThermalMunch</x:v>
      </x:c>
      <x:c r="D19" s="15" t="str">
        <x:v>工具：helloklf/vtools mi-thermal-config / hdzungx/ThermalMunch</x:v>
      </x:c>
      <x:c r="E19" s="15" t="str">
        <x:v>工具：helloklf/vtools mi-thermal-config / hdzungx/ThermalMunch</x:v>
      </x:c>
      <x:c r="F19" s="15" t="str">
        <x:v>工具：helloklf/vtools mi-thermal-config / hdzungx/ThermalMunch</x:v>
      </x:c>
    </x:row>
    <x:row r="20">
      <x:c r="A20" s="15" t="str">
        <x:v>功率为估算值：电流 × 4.0V，实际随电池电压 3.5–4.5V 变化</x:v>
      </x:c>
      <x:c r="B20" s="15" t="str">
        <x:v>功率为估算值：电流 × 4.0V，实际随电池电压 3.5–4.5V 变化</x:v>
      </x:c>
      <x:c r="C20" s="15" t="str">
        <x:v>功率为估算值：电流 × 4.0V，实际随电池电压 3.5–4.5V 变化</x:v>
      </x:c>
      <x:c r="D20" s="15" t="str">
        <x:v>功率为估算值：电流 × 4.0V，实际随电池电压 3.5–4.5V 变化</x:v>
      </x:c>
      <x:c r="E20" s="15" t="str">
        <x:v>功率为估算值：电流 × 4.0V，实际随电池电压 3.5–4.5V 变化</x:v>
      </x:c>
      <x:c r="F20" s="15" t="str">
        <x:v>功率为估算值：电流 × 4.0V，实际随电池电压 3.5–4.5V 变化</x:v>
      </x:c>
    </x:row>
  </x:sheetData>
  <x:mergeCells>
    <x:mergeCell ref="A1:F1"/>
    <x:mergeCell ref="A3:F3"/>
    <x:mergeCell ref="A9:F9"/>
    <x:mergeCell ref="A10:F10"/>
    <x:mergeCell ref="A11:F11"/>
    <x:mergeCell ref="A12:F12"/>
    <x:mergeCell ref="A13:F13"/>
    <x:mergeCell ref="A14:F14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.630001068115234" hidden="0" customWidth="1"/>
    <x:col min="2" max="2" width="53.630001068115234" hidden="0" customWidth="1"/>
    <x:col min="3" max="3" width="53.630001068115234" hidden="0" customWidth="1"/>
    <x:col min="4" max="4" width="53.630001068115234" hidden="0" customWidth="1"/>
    <x:col min="5" max="5" width="53.630001068115234" hidden="0" customWidth="1"/>
    <x:col min="6" max="6" width="53.630001068115234" hidden="0" customWidth="1"/>
    <x:col min="7" max="7" width="53.630001068115234" hidden="0" customWidth="1"/>
    <x:col min="8" max="8" width="53.630001068115234" hidden="0" customWidth="1"/>
    <x:col min="9" max="9" width="53.630001068115234" hidden="0" customWidth="1"/>
    <x:col min="10" max="10" width="53.630001068115234" hidden="0" customWidth="1"/>
    <x:col min="11" max="11" width="53.630001068115234" hidden="0" customWidth="1"/>
    <x:col min="12" max="12" width="53.630001068115234" hidden="0" customWidth="1"/>
  </x:cols>
  <x:sheetData>
    <x:row r="1" ht="28" customHeight="1">
      <x:c r="A1" s="4" t="str">
        <x:v>等级 → 各无线档位电流上限（wireless_thermal 表）</x:v>
      </x:c>
      <x:c r="B1" s="4" t="str">
        <x:v>等级 → 各无线档位电流上限（wireless_thermal 表）</x:v>
      </x:c>
      <x:c r="C1" s="4" t="str">
        <x:v>等级 → 各无线档位电流上限（wireless_thermal 表）</x:v>
      </x:c>
      <x:c r="D1" s="4" t="str">
        <x:v>等级 → 各无线档位电流上限（wireless_thermal 表）</x:v>
      </x:c>
      <x:c r="E1" s="4" t="str">
        <x:v>等级 → 各无线档位电流上限（wireless_thermal 表）</x:v>
      </x:c>
      <x:c r="F1" s="4" t="str">
        <x:v>等级 → 各无线档位电流上限（wireless_thermal 表）</x:v>
      </x:c>
      <x:c r="G1" s="4" t="str">
        <x:v>等级 → 各无线档位电流上限（wireless_thermal 表）</x:v>
      </x:c>
      <x:c r="H1" s="4" t="str">
        <x:v>等级 → 各无线档位电流上限（wireless_thermal 表）</x:v>
      </x:c>
      <x:c r="I1" s="4" t="str">
        <x:v>等级 → 各无线档位电流上限（wireless_thermal 表）</x:v>
      </x:c>
      <x:c r="J1" s="4" t="str">
        <x:v>等级 → 各无线档位电流上限（wireless_thermal 表）</x:v>
      </x:c>
      <x:c r="K1" s="4" t="str">
        <x:v>等级 → 各无线档位电流上限（wireless_thermal 表）</x:v>
      </x:c>
      <x:c r="L1" s="4" t="str">
        <x:v>等级 → 各无线档位电流上限（wireless_thermal 表）</x:v>
      </x:c>
    </x:row>
    <x:row r="2">
      <x:c r="A2" s="23" t="str">
        <x:v>等级</x:v>
      </x:c>
      <x:c r="B2" s="23" t="str">
        <x:v>?</x:v>
      </x:c>
      <x:c r="C2" s="23" t="str">
        <x:v>BPP-QC2</x:v>
      </x:c>
      <x:c r="D2" s="23" t="str">
        <x:v>BPP-QC3</x:v>
      </x:c>
      <x:c r="E2" s="23" t="str">
        <x:v>EPP</x:v>
      </x:c>
      <x:c r="F2" s="23" t="str">
        <x:v>20W</x:v>
      </x:c>
      <x:c r="G2" s="23" t="str">
        <x:v>30W</x:v>
      </x:c>
      <x:c r="H2" s="23" t="str">
        <x:v>50W</x:v>
      </x:c>
      <x:c r="I2" s="23" t="str">
        <x:v>80W</x:v>
      </x:c>
      <x:c r="J2" s="23" t="str">
        <x:v>语音盒</x:v>
      </x:c>
      <x:c r="K2" s="23" t="str">
        <x:v>磁吸30W</x:v>
      </x:c>
      <x:c r="L2" s="23" t="str">
        <x:v>30W 功率@4.0V</x:v>
      </x:c>
    </x:row>
    <x:row r="3">
      <x:c r="A3" s="30" t="n">
        <x:v>1</x:v>
      </x:c>
      <x:c r="B3" s="31" t="n">
        <x:v>850</x:v>
      </x:c>
      <x:c r="C3" s="31" t="n">
        <x:v>1000</x:v>
      </x:c>
      <x:c r="D3" s="31" t="n">
        <x:v>1100</x:v>
      </x:c>
      <x:c r="E3" s="31" t="n">
        <x:v>900</x:v>
      </x:c>
      <x:c r="F3" s="31" t="n">
        <x:v>3400</x:v>
      </x:c>
      <x:c r="G3" s="31" t="n">
        <x:v>4400</x:v>
      </x:c>
      <x:c r="H3" s="31" t="n">
        <x:v>9000</x:v>
      </x:c>
      <x:c r="I3" s="31" t="n">
        <x:v>9000</x:v>
      </x:c>
      <x:c r="J3" s="31" t="n">
        <x:v>2200</x:v>
      </x:c>
      <x:c r="K3" s="31" t="n">
        <x:v>4400</x:v>
      </x:c>
      <x:c r="L3" s="32" t="n">
        <x:f>G3*4/1000</x:f>
        <x:v>17.6</x:v>
      </x:c>
    </x:row>
    <x:row r="4">
      <x:c r="A4" s="30" t="n">
        <x:v>2</x:v>
      </x:c>
      <x:c r="B4" s="31" t="n">
        <x:v>850</x:v>
      </x:c>
      <x:c r="C4" s="31" t="n">
        <x:v>1000</x:v>
      </x:c>
      <x:c r="D4" s="31" t="n">
        <x:v>1100</x:v>
      </x:c>
      <x:c r="E4" s="31" t="n">
        <x:v>750</x:v>
      </x:c>
      <x:c r="F4" s="31" t="n">
        <x:v>3200</x:v>
      </x:c>
      <x:c r="G4" s="31" t="n">
        <x:v>4200</x:v>
      </x:c>
      <x:c r="H4" s="31" t="n">
        <x:v>8000</x:v>
      </x:c>
      <x:c r="I4" s="31" t="n">
        <x:v>8000</x:v>
      </x:c>
      <x:c r="J4" s="31" t="n">
        <x:v>2200</x:v>
      </x:c>
      <x:c r="K4" s="31" t="n">
        <x:v>4200</x:v>
      </x:c>
      <x:c r="L4" s="32" t="n">
        <x:f>G4*4/1000</x:f>
        <x:v>16.8</x:v>
      </x:c>
    </x:row>
    <x:row r="5">
      <x:c r="A5" s="30" t="n">
        <x:v>3</x:v>
      </x:c>
      <x:c r="B5" s="31" t="n">
        <x:v>850</x:v>
      </x:c>
      <x:c r="C5" s="31" t="n">
        <x:v>1000</x:v>
      </x:c>
      <x:c r="D5" s="31" t="n">
        <x:v>1100</x:v>
      </x:c>
      <x:c r="E5" s="31" t="n">
        <x:v>650</x:v>
      </x:c>
      <x:c r="F5" s="31" t="n">
        <x:v>2200</x:v>
      </x:c>
      <x:c r="G5" s="31" t="n">
        <x:v>3400</x:v>
      </x:c>
      <x:c r="H5" s="31" t="n">
        <x:v>7000</x:v>
      </x:c>
      <x:c r="I5" s="31" t="n">
        <x:v>7000</x:v>
      </x:c>
      <x:c r="J5" s="31" t="n">
        <x:v>1000</x:v>
      </x:c>
      <x:c r="K5" s="31" t="n">
        <x:v>3400</x:v>
      </x:c>
      <x:c r="L5" s="32" t="n">
        <x:f>G5*4/1000</x:f>
        <x:v>13.6</x:v>
      </x:c>
    </x:row>
    <x:row r="6">
      <x:c r="A6" s="30" t="n">
        <x:v>4</x:v>
      </x:c>
      <x:c r="B6" s="31" t="n">
        <x:v>700</x:v>
      </x:c>
      <x:c r="C6" s="31" t="n">
        <x:v>1000</x:v>
      </x:c>
      <x:c r="D6" s="31" t="n">
        <x:v>1100</x:v>
      </x:c>
      <x:c r="E6" s="31" t="n">
        <x:v>650</x:v>
      </x:c>
      <x:c r="F6" s="31" t="n">
        <x:v>1800</x:v>
      </x:c>
      <x:c r="G6" s="31" t="n">
        <x:v>2800</x:v>
      </x:c>
      <x:c r="H6" s="31" t="n">
        <x:v>6000</x:v>
      </x:c>
      <x:c r="I6" s="31" t="n">
        <x:v>6000</x:v>
      </x:c>
      <x:c r="J6" s="31" t="n">
        <x:v>1000</x:v>
      </x:c>
      <x:c r="K6" s="31" t="n">
        <x:v>2800</x:v>
      </x:c>
      <x:c r="L6" s="32" t="n">
        <x:f>G6*4/1000</x:f>
        <x:v>11.2</x:v>
      </x:c>
    </x:row>
    <x:row r="7">
      <x:c r="A7" s="30" t="n">
        <x:v>5</x:v>
      </x:c>
      <x:c r="B7" s="31" t="n">
        <x:v>700</x:v>
      </x:c>
      <x:c r="C7" s="31" t="n">
        <x:v>1000</x:v>
      </x:c>
      <x:c r="D7" s="31" t="n">
        <x:v>700</x:v>
      </x:c>
      <x:c r="E7" s="31" t="n">
        <x:v>650</x:v>
      </x:c>
      <x:c r="F7" s="31" t="n">
        <x:v>1500</x:v>
      </x:c>
      <x:c r="G7" s="31" t="n">
        <x:v>2600</x:v>
      </x:c>
      <x:c r="H7" s="31" t="n">
        <x:v>5000</x:v>
      </x:c>
      <x:c r="I7" s="31" t="n">
        <x:v>5000</x:v>
      </x:c>
      <x:c r="J7" s="31" t="n">
        <x:v>800</x:v>
      </x:c>
      <x:c r="K7" s="31" t="n">
        <x:v>2600</x:v>
      </x:c>
      <x:c r="L7" s="32" t="n">
        <x:f>G7*4/1000</x:f>
        <x:v>10.4</x:v>
      </x:c>
    </x:row>
    <x:row r="8">
      <x:c r="A8" s="30" t="n">
        <x:v>6</x:v>
      </x:c>
      <x:c r="B8" s="31" t="n">
        <x:v>500</x:v>
      </x:c>
      <x:c r="C8" s="31" t="n">
        <x:v>1000</x:v>
      </x:c>
      <x:c r="D8" s="31" t="n">
        <x:v>700</x:v>
      </x:c>
      <x:c r="E8" s="31" t="n">
        <x:v>650</x:v>
      </x:c>
      <x:c r="F8" s="31" t="n">
        <x:v>1300</x:v>
      </x:c>
      <x:c r="G8" s="31" t="n">
        <x:v>2200</x:v>
      </x:c>
      <x:c r="H8" s="31" t="n">
        <x:v>4000</x:v>
      </x:c>
      <x:c r="I8" s="31" t="n">
        <x:v>4000</x:v>
      </x:c>
      <x:c r="J8" s="31" t="n">
        <x:v>800</x:v>
      </x:c>
      <x:c r="K8" s="31" t="n">
        <x:v>2200</x:v>
      </x:c>
      <x:c r="L8" s="32" t="n">
        <x:f>G8*4/1000</x:f>
        <x:v>8.8</x:v>
      </x:c>
    </x:row>
    <x:row r="9">
      <x:c r="A9" s="30" t="n">
        <x:v>7</x:v>
      </x:c>
      <x:c r="B9" s="31" t="n">
        <x:v>500</x:v>
      </x:c>
      <x:c r="C9" s="31" t="n">
        <x:v>700</x:v>
      </x:c>
      <x:c r="D9" s="31" t="n">
        <x:v>600</x:v>
      </x:c>
      <x:c r="E9" s="31" t="n">
        <x:v>400</x:v>
      </x:c>
      <x:c r="F9" s="31" t="n">
        <x:v>1100</x:v>
      </x:c>
      <x:c r="G9" s="31" t="n">
        <x:v>2200</x:v>
      </x:c>
      <x:c r="H9" s="31" t="n">
        <x:v>3500</x:v>
      </x:c>
      <x:c r="I9" s="31" t="n">
        <x:v>3500</x:v>
      </x:c>
      <x:c r="J9" s="31" t="n">
        <x:v>700</x:v>
      </x:c>
      <x:c r="K9" s="31" t="n">
        <x:v>2200</x:v>
      </x:c>
      <x:c r="L9" s="32" t="n">
        <x:f>G9*4/1000</x:f>
        <x:v>8.8</x:v>
      </x:c>
    </x:row>
    <x:row r="10">
      <x:c r="A10" s="30" t="n">
        <x:v>8</x:v>
      </x:c>
      <x:c r="B10" s="31" t="n">
        <x:v>500</x:v>
      </x:c>
      <x:c r="C10" s="31" t="n">
        <x:v>700</x:v>
      </x:c>
      <x:c r="D10" s="31" t="n">
        <x:v>600</x:v>
      </x:c>
      <x:c r="E10" s="31" t="n">
        <x:v>400</x:v>
      </x:c>
      <x:c r="F10" s="31" t="n">
        <x:v>1000</x:v>
      </x:c>
      <x:c r="G10" s="31" t="n">
        <x:v>1800</x:v>
      </x:c>
      <x:c r="H10" s="31" t="n">
        <x:v>3000</x:v>
      </x:c>
      <x:c r="I10" s="31" t="n">
        <x:v>3000</x:v>
      </x:c>
      <x:c r="J10" s="31" t="n">
        <x:v>700</x:v>
      </x:c>
      <x:c r="K10" s="31" t="n">
        <x:v>1800</x:v>
      </x:c>
      <x:c r="L10" s="32" t="n">
        <x:f>G10*4/1000</x:f>
        <x:v>7.2</x:v>
      </x:c>
    </x:row>
    <x:row r="11">
      <x:c r="A11" s="30" t="n">
        <x:v>9</x:v>
      </x:c>
      <x:c r="B11" s="31" t="n">
        <x:v>500</x:v>
      </x:c>
      <x:c r="C11" s="31" t="n">
        <x:v>500</x:v>
      </x:c>
      <x:c r="D11" s="31" t="n">
        <x:v>500</x:v>
      </x:c>
      <x:c r="E11" s="31" t="n">
        <x:v>300</x:v>
      </x:c>
      <x:c r="F11" s="31" t="n">
        <x:v>800</x:v>
      </x:c>
      <x:c r="G11" s="31" t="n">
        <x:v>1100</x:v>
      </x:c>
      <x:c r="H11" s="31" t="n">
        <x:v>2500</x:v>
      </x:c>
      <x:c r="I11" s="31" t="n">
        <x:v>2500</x:v>
      </x:c>
      <x:c r="J11" s="31" t="n">
        <x:v>600</x:v>
      </x:c>
      <x:c r="K11" s="31" t="n">
        <x:v>1100</x:v>
      </x:c>
      <x:c r="L11" s="32" t="n">
        <x:f>G11*4/1000</x:f>
        <x:v>4.4</x:v>
      </x:c>
    </x:row>
    <x:row r="12">
      <x:c r="A12" s="30" t="n">
        <x:v>10</x:v>
      </x:c>
      <x:c r="B12" s="31" t="n">
        <x:v>400</x:v>
      </x:c>
      <x:c r="C12" s="31" t="n">
        <x:v>500</x:v>
      </x:c>
      <x:c r="D12" s="31" t="n">
        <x:v>500</x:v>
      </x:c>
      <x:c r="E12" s="31" t="n">
        <x:v>300</x:v>
      </x:c>
      <x:c r="F12" s="31" t="n">
        <x:v>700</x:v>
      </x:c>
      <x:c r="G12" s="31" t="n">
        <x:v>1000</x:v>
      </x:c>
      <x:c r="H12" s="31" t="n">
        <x:v>2000</x:v>
      </x:c>
      <x:c r="I12" s="31" t="n">
        <x:v>2000</x:v>
      </x:c>
      <x:c r="J12" s="31" t="n">
        <x:v>600</x:v>
      </x:c>
      <x:c r="K12" s="31" t="n">
        <x:v>1000</x:v>
      </x:c>
      <x:c r="L12" s="32" t="n">
        <x:f>G12*4/1000</x:f>
        <x:v>4</x:v>
      </x:c>
    </x:row>
    <x:row r="13">
      <x:c r="A13" s="30" t="n">
        <x:v>11</x:v>
      </x:c>
      <x:c r="B13" s="31" t="n">
        <x:v>400</x:v>
      </x:c>
      <x:c r="C13" s="31" t="n">
        <x:v>500</x:v>
      </x:c>
      <x:c r="D13" s="31" t="n">
        <x:v>500</x:v>
      </x:c>
      <x:c r="E13" s="31" t="n">
        <x:v>250</x:v>
      </x:c>
      <x:c r="F13" s="31" t="n">
        <x:v>600</x:v>
      </x:c>
      <x:c r="G13" s="31" t="n">
        <x:v>800</x:v>
      </x:c>
      <x:c r="H13" s="31" t="n">
        <x:v>1500</x:v>
      </x:c>
      <x:c r="I13" s="31" t="n">
        <x:v>1500</x:v>
      </x:c>
      <x:c r="J13" s="31" t="n">
        <x:v>500</x:v>
      </x:c>
      <x:c r="K13" s="31" t="n">
        <x:v>800</x:v>
      </x:c>
      <x:c r="L13" s="32" t="n">
        <x:f>G13*4/1000</x:f>
        <x:v>3.2</x:v>
      </x:c>
    </x:row>
    <x:row r="14">
      <x:c r="A14" s="30" t="n">
        <x:v>12</x:v>
      </x:c>
      <x:c r="B14" s="31" t="n">
        <x:v>400</x:v>
      </x:c>
      <x:c r="C14" s="31" t="n">
        <x:v>500</x:v>
      </x:c>
      <x:c r="D14" s="31" t="n">
        <x:v>500</x:v>
      </x:c>
      <x:c r="E14" s="31" t="n">
        <x:v>250</x:v>
      </x:c>
      <x:c r="F14" s="31" t="n">
        <x:v>500</x:v>
      </x:c>
      <x:c r="G14" s="31" t="n">
        <x:v>700</x:v>
      </x:c>
      <x:c r="H14" s="31" t="n">
        <x:v>1000</x:v>
      </x:c>
      <x:c r="I14" s="31" t="n">
        <x:v>1000</x:v>
      </x:c>
      <x:c r="J14" s="31" t="n">
        <x:v>500</x:v>
      </x:c>
      <x:c r="K14" s="31" t="n">
        <x:v>700</x:v>
      </x:c>
      <x:c r="L14" s="32" t="n">
        <x:f>G14*4/1000</x:f>
        <x:v>2.8</x:v>
      </x:c>
    </x:row>
    <x:row r="15">
      <x:c r="A15" s="30" t="n">
        <x:v>13</x:v>
      </x:c>
      <x:c r="B15" s="31" t="n">
        <x:v>300</x:v>
      </x:c>
      <x:c r="C15" s="31" t="n">
        <x:v>500</x:v>
      </x:c>
      <x:c r="D15" s="31" t="n">
        <x:v>500</x:v>
      </x:c>
      <x:c r="E15" s="31" t="n">
        <x:v>250</x:v>
      </x:c>
      <x:c r="F15" s="31" t="n">
        <x:v>500</x:v>
      </x:c>
      <x:c r="G15" s="31" t="n">
        <x:v>600</x:v>
      </x:c>
      <x:c r="H15" s="31" t="n">
        <x:v>800</x:v>
      </x:c>
      <x:c r="I15" s="31" t="n">
        <x:v>800</x:v>
      </x:c>
      <x:c r="J15" s="31" t="n">
        <x:v>400</x:v>
      </x:c>
      <x:c r="K15" s="31" t="n">
        <x:v>600</x:v>
      </x:c>
      <x:c r="L15" s="32" t="n">
        <x:f>G15*4/1000</x:f>
        <x:v>2.4</x:v>
      </x:c>
    </x:row>
    <x:row r="16">
      <x:c r="A16" s="30" t="n">
        <x:v>14</x:v>
      </x:c>
      <x:c r="B16" s="31" t="n">
        <x:v>300</x:v>
      </x:c>
      <x:c r="C16" s="31" t="n">
        <x:v>400</x:v>
      </x:c>
      <x:c r="D16" s="31" t="n">
        <x:v>400</x:v>
      </x:c>
      <x:c r="E16" s="31" t="n">
        <x:v>200</x:v>
      </x:c>
      <x:c r="F16" s="31" t="n">
        <x:v>400</x:v>
      </x:c>
      <x:c r="G16" s="31" t="n">
        <x:v>500</x:v>
      </x:c>
      <x:c r="H16" s="31" t="n">
        <x:v>500</x:v>
      </x:c>
      <x:c r="I16" s="31" t="n">
        <x:v>500</x:v>
      </x:c>
      <x:c r="J16" s="31" t="n">
        <x:v>400</x:v>
      </x:c>
      <x:c r="K16" s="31" t="n">
        <x:v>500</x:v>
      </x:c>
      <x:c r="L16" s="32" t="n">
        <x:f>G16*4/1000</x:f>
        <x:v>2</x:v>
      </x:c>
    </x:row>
    <x:row r="17">
      <x:c r="A17" s="30" t="n">
        <x:v>15</x:v>
      </x:c>
      <x:c r="B17" s="31" t="n">
        <x:v>300</x:v>
      </x:c>
      <x:c r="C17" s="31" t="n">
        <x:v>300</x:v>
      </x:c>
      <x:c r="D17" s="31" t="n">
        <x:v>300</x:v>
      </x:c>
      <x:c r="E17" s="31" t="n">
        <x:v>150</x:v>
      </x:c>
      <x:c r="F17" s="31" t="n">
        <x:v>300</x:v>
      </x:c>
      <x:c r="G17" s="31" t="n">
        <x:v>400</x:v>
      </x:c>
      <x:c r="H17" s="31" t="n">
        <x:v>400</x:v>
      </x:c>
      <x:c r="I17" s="31" t="n">
        <x:v>400</x:v>
      </x:c>
      <x:c r="J17" s="31" t="n">
        <x:v>300</x:v>
      </x:c>
      <x:c r="K17" s="31" t="n">
        <x:v>400</x:v>
      </x:c>
      <x:c r="L17" s="32" t="n">
        <x:f>G17*4/1000</x:f>
        <x:v>1.6</x:v>
      </x:c>
    </x:row>
  </x:sheetData>
  <x:mergeCells>
    <x:mergeCell ref="A1:L1"/>
  </x:mergeCells>
  <x:conditionalFormatting sqref="F3:I17">
    <x:cfRule type="colorScale" priority="1">
      <x:colorScale>
        <x:cfvo type="min"/>
        <x:cfvo type="percentile" val="50"/>
        <x:cfvo type="max"/>
        <x:color rgb="FFDC2626"/>
        <x:color rgb="FFFBBF24"/>
        <x:color rgb="FF16A34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.5" hidden="0" customWidth="1"/>
    <x:col min="2" max="2" width="40.5" hidden="0" customWidth="1"/>
    <x:col min="3" max="3" width="40.5" hidden="0" customWidth="1"/>
    <x:col min="4" max="4" width="40.5" hidden="0" customWidth="1"/>
    <x:col min="5" max="5" width="40.5" hidden="0" customWidth="1"/>
    <x:col min="6" max="6" width="40.5" hidden="0" customWidth="1"/>
    <x:col min="7" max="7" width="40.5" hidden="0" customWidth="1"/>
    <x:col min="8" max="8" width="40.5" hidden="0" customWidth="1"/>
  </x:cols>
  <x:sheetData>
    <x:row r="1" ht="28" customHeight="1">
      <x:c r="A1" s="4" t="str">
        <x:v>normal：虚拟温度 → 等级 → 电流/功率</x:v>
      </x:c>
      <x:c r="B1" s="4" t="str">
        <x:v>normal：虚拟温度 → 等级 → 电流/功率</x:v>
      </x:c>
      <x:c r="C1" s="4" t="str">
        <x:v>normal：虚拟温度 → 等级 → 电流/功率</x:v>
      </x:c>
      <x:c r="D1" s="4" t="str">
        <x:v>normal：虚拟温度 → 等级 → 电流/功率</x:v>
      </x:c>
      <x:c r="E1" s="4" t="str">
        <x:v>normal：虚拟温度 → 等级 → 电流/功率</x:v>
      </x:c>
      <x:c r="F1" s="4" t="str">
        <x:v>normal：虚拟温度 → 等级 → 电流/功率</x:v>
      </x:c>
      <x:c r="G1" s="4" t="str">
        <x:v>normal：虚拟温度 → 等级 → 电流/功率</x:v>
      </x:c>
      <x:c r="H1" s="4" t="str">
        <x:v>normal：虚拟温度 → 等级 → 电流/功率</x:v>
      </x:c>
    </x:row>
    <x:row r="2">
      <x:c r="A2" s="23" t="str">
        <x:v>虚拟温度 ≥ (trig)</x:v>
      </x:c>
      <x:c r="B2" s="23" t="str">
        <x:v>回落 &lt; (clr)</x:v>
      </x:c>
      <x:c r="C2" s="23" t="str">
        <x:v>等级</x:v>
      </x:c>
      <x:c r="D2" s="23" t="str">
        <x:v>20W 限流</x:v>
      </x:c>
      <x:c r="E2" s="23" t="str">
        <x:v>30W 限流</x:v>
      </x:c>
      <x:c r="F2" s="23" t="str">
        <x:v>30W 功率@4.0V</x:v>
      </x:c>
      <x:c r="G2" s="23" t="str">
        <x:v>50W 限流</x:v>
      </x:c>
      <x:c r="H2" s="23" t="str">
        <x:v>80W 限流</x:v>
      </x:c>
    </x:row>
    <x:row r="3">
      <x:c r="A3" s="38" t="n">
        <x:v>34</x:v>
      </x:c>
      <x:c r="B3" s="38" t="n">
        <x:v>33.5</x:v>
      </x:c>
      <x:c r="C3" s="39" t="n">
        <x:v>3</x:v>
      </x:c>
      <x:c r="D3" s="40" t="n">
        <x:f>INDEX('等级电流表'!$F$2:$I$17,MATCH($C3,'等级电流表'!$A$2:$A$17,0),1)</x:f>
        <x:v>2200</x:v>
      </x:c>
      <x:c r="E3" s="40" t="n">
        <x:f>INDEX('等级电流表'!$F$2:$I$17,MATCH($C3,'等级电流表'!$A$2:$A$17,0),2)</x:f>
        <x:v>3400</x:v>
      </x:c>
      <x:c r="F3" s="41" t="n">
        <x:f>E3*4/1000</x:f>
        <x:v>13.6</x:v>
      </x:c>
      <x:c r="G3" s="40" t="n">
        <x:f>INDEX('等级电流表'!$F$2:$I$17,MATCH($C3,'等级电流表'!$A$2:$A$17,0),3)</x:f>
        <x:v>7000</x:v>
      </x:c>
      <x:c r="H3" s="40" t="n">
        <x:f>INDEX('等级电流表'!$F$2:$I$17,MATCH($C3,'等级电流表'!$A$2:$A$17,0),4)</x:f>
        <x:v>7000</x:v>
      </x:c>
    </x:row>
    <x:row r="4">
      <x:c r="A4" s="36" t="n">
        <x:v>35.2</x:v>
      </x:c>
      <x:c r="B4" s="36" t="n">
        <x:v>35</x:v>
      </x:c>
      <x:c r="C4" s="30" t="n">
        <x:v>4</x:v>
      </x:c>
      <x:c r="D4" s="31" t="n">
        <x:f>INDEX('等级电流表'!$F$2:$I$17,MATCH($C4,'等级电流表'!$A$2:$A$17,0),1)</x:f>
        <x:v>1800</x:v>
      </x:c>
      <x:c r="E4" s="31" t="n">
        <x:f>INDEX('等级电流表'!$F$2:$I$17,MATCH($C4,'等级电流表'!$A$2:$A$17,0),2)</x:f>
        <x:v>2800</x:v>
      </x:c>
      <x:c r="F4" s="37" t="n">
        <x:f>E4*4/1000</x:f>
        <x:v>11.2</x:v>
      </x:c>
      <x:c r="G4" s="31" t="n">
        <x:f>INDEX('等级电流表'!$F$2:$I$17,MATCH($C4,'等级电流表'!$A$2:$A$17,0),3)</x:f>
        <x:v>6000</x:v>
      </x:c>
      <x:c r="H4" s="31" t="n">
        <x:f>INDEX('等级电流表'!$F$2:$I$17,MATCH($C4,'等级电流表'!$A$2:$A$17,0),4)</x:f>
        <x:v>6000</x:v>
      </x:c>
    </x:row>
    <x:row r="5">
      <x:c r="A5" s="36" t="n">
        <x:v>35.5</x:v>
      </x:c>
      <x:c r="B5" s="36" t="n">
        <x:v>35.2</x:v>
      </x:c>
      <x:c r="C5" s="30" t="n">
        <x:v>5</x:v>
      </x:c>
      <x:c r="D5" s="31" t="n">
        <x:f>INDEX('等级电流表'!$F$2:$I$17,MATCH($C5,'等级电流表'!$A$2:$A$17,0),1)</x:f>
        <x:v>1500</x:v>
      </x:c>
      <x:c r="E5" s="31" t="n">
        <x:f>INDEX('等级电流表'!$F$2:$I$17,MATCH($C5,'等级电流表'!$A$2:$A$17,0),2)</x:f>
        <x:v>2600</x:v>
      </x:c>
      <x:c r="F5" s="37" t="n">
        <x:f>E5*4/1000</x:f>
        <x:v>10.4</x:v>
      </x:c>
      <x:c r="G5" s="31" t="n">
        <x:f>INDEX('等级电流表'!$F$2:$I$17,MATCH($C5,'等级电流表'!$A$2:$A$17,0),3)</x:f>
        <x:v>5000</x:v>
      </x:c>
      <x:c r="H5" s="31" t="n">
        <x:f>INDEX('等级电流表'!$F$2:$I$17,MATCH($C5,'等级电流表'!$A$2:$A$17,0),4)</x:f>
        <x:v>5000</x:v>
      </x:c>
    </x:row>
    <x:row r="6">
      <x:c r="A6" s="36" t="n">
        <x:v>37</x:v>
      </x:c>
      <x:c r="B6" s="36" t="n">
        <x:v>36.5</x:v>
      </x:c>
      <x:c r="C6" s="30" t="n">
        <x:v>6</x:v>
      </x:c>
      <x:c r="D6" s="31" t="n">
        <x:f>INDEX('等级电流表'!$F$2:$I$17,MATCH($C6,'等级电流表'!$A$2:$A$17,0),1)</x:f>
        <x:v>1300</x:v>
      </x:c>
      <x:c r="E6" s="31" t="n">
        <x:f>INDEX('等级电流表'!$F$2:$I$17,MATCH($C6,'等级电流表'!$A$2:$A$17,0),2)</x:f>
        <x:v>2200</x:v>
      </x:c>
      <x:c r="F6" s="37" t="n">
        <x:f>E6*4/1000</x:f>
        <x:v>8.8</x:v>
      </x:c>
      <x:c r="G6" s="31" t="n">
        <x:f>INDEX('等级电流表'!$F$2:$I$17,MATCH($C6,'等级电流表'!$A$2:$A$17,0),3)</x:f>
        <x:v>4000</x:v>
      </x:c>
      <x:c r="H6" s="31" t="n">
        <x:f>INDEX('等级电流表'!$F$2:$I$17,MATCH($C6,'等级电流表'!$A$2:$A$17,0),4)</x:f>
        <x:v>4000</x:v>
      </x:c>
    </x:row>
    <x:row r="7">
      <x:c r="A7" s="36" t="n">
        <x:v>38</x:v>
      </x:c>
      <x:c r="B7" s="36" t="n">
        <x:v>37.5</x:v>
      </x:c>
      <x:c r="C7" s="30" t="n">
        <x:v>7</x:v>
      </x:c>
      <x:c r="D7" s="31" t="n">
        <x:f>INDEX('等级电流表'!$F$2:$I$17,MATCH($C7,'等级电流表'!$A$2:$A$17,0),1)</x:f>
        <x:v>1100</x:v>
      </x:c>
      <x:c r="E7" s="31" t="n">
        <x:f>INDEX('等级电流表'!$F$2:$I$17,MATCH($C7,'等级电流表'!$A$2:$A$17,0),2)</x:f>
        <x:v>2200</x:v>
      </x:c>
      <x:c r="F7" s="37" t="n">
        <x:f>E7*4/1000</x:f>
        <x:v>8.8</x:v>
      </x:c>
      <x:c r="G7" s="31" t="n">
        <x:f>INDEX('等级电流表'!$F$2:$I$17,MATCH($C7,'等级电流表'!$A$2:$A$17,0),3)</x:f>
        <x:v>3500</x:v>
      </x:c>
      <x:c r="H7" s="31" t="n">
        <x:f>INDEX('等级电流表'!$F$2:$I$17,MATCH($C7,'等级电流表'!$A$2:$A$17,0),4)</x:f>
        <x:v>3500</x:v>
      </x:c>
    </x:row>
    <x:row r="8">
      <x:c r="A8" s="36" t="n">
        <x:v>39</x:v>
      </x:c>
      <x:c r="B8" s="36" t="n">
        <x:v>38.5</x:v>
      </x:c>
      <x:c r="C8" s="30" t="n">
        <x:v>8</x:v>
      </x:c>
      <x:c r="D8" s="31" t="n">
        <x:f>INDEX('等级电流表'!$F$2:$I$17,MATCH($C8,'等级电流表'!$A$2:$A$17,0),1)</x:f>
        <x:v>1000</x:v>
      </x:c>
      <x:c r="E8" s="31" t="n">
        <x:f>INDEX('等级电流表'!$F$2:$I$17,MATCH($C8,'等级电流表'!$A$2:$A$17,0),2)</x:f>
        <x:v>1800</x:v>
      </x:c>
      <x:c r="F8" s="37" t="n">
        <x:f>E8*4/1000</x:f>
        <x:v>7.2</x:v>
      </x:c>
      <x:c r="G8" s="31" t="n">
        <x:f>INDEX('等级电流表'!$F$2:$I$17,MATCH($C8,'等级电流表'!$A$2:$A$17,0),3)</x:f>
        <x:v>3000</x:v>
      </x:c>
      <x:c r="H8" s="31" t="n">
        <x:f>INDEX('等级电流表'!$F$2:$I$17,MATCH($C8,'等级电流表'!$A$2:$A$17,0),4)</x:f>
        <x:v>3000</x:v>
      </x:c>
    </x:row>
    <x:row r="9">
      <x:c r="A9" s="36" t="n">
        <x:v>39.5</x:v>
      </x:c>
      <x:c r="B9" s="36" t="n">
        <x:v>39.2</x:v>
      </x:c>
      <x:c r="C9" s="30" t="n">
        <x:v>10</x:v>
      </x:c>
      <x:c r="D9" s="31" t="n">
        <x:f>INDEX('等级电流表'!$F$2:$I$17,MATCH($C9,'等级电流表'!$A$2:$A$17,0),1)</x:f>
        <x:v>700</x:v>
      </x:c>
      <x:c r="E9" s="31" t="n">
        <x:f>INDEX('等级电流表'!$F$2:$I$17,MATCH($C9,'等级电流表'!$A$2:$A$17,0),2)</x:f>
        <x:v>1000</x:v>
      </x:c>
      <x:c r="F9" s="37" t="n">
        <x:f>E9*4/1000</x:f>
        <x:v>4</x:v>
      </x:c>
      <x:c r="G9" s="31" t="n">
        <x:f>INDEX('等级电流表'!$F$2:$I$17,MATCH($C9,'等级电流表'!$A$2:$A$17,0),3)</x:f>
        <x:v>2000</x:v>
      </x:c>
      <x:c r="H9" s="31" t="n">
        <x:f>INDEX('等级电流表'!$F$2:$I$17,MATCH($C9,'等级电流表'!$A$2:$A$17,0),4)</x:f>
        <x:v>2000</x:v>
      </x:c>
    </x:row>
    <x:row r="10">
      <x:c r="A10" s="36" t="n">
        <x:v>41</x:v>
      </x:c>
      <x:c r="B10" s="36" t="n">
        <x:v>40.5</x:v>
      </x:c>
      <x:c r="C10" s="30" t="n">
        <x:v>12</x:v>
      </x:c>
      <x:c r="D10" s="31" t="n">
        <x:f>INDEX('等级电流表'!$F$2:$I$17,MATCH($C10,'等级电流表'!$A$2:$A$17,0),1)</x:f>
        <x:v>500</x:v>
      </x:c>
      <x:c r="E10" s="31" t="n">
        <x:f>INDEX('等级电流表'!$F$2:$I$17,MATCH($C10,'等级电流表'!$A$2:$A$17,0),2)</x:f>
        <x:v>700</x:v>
      </x:c>
      <x:c r="F10" s="37" t="n">
        <x:f>E10*4/1000</x:f>
        <x:v>2.8</x:v>
      </x:c>
      <x:c r="G10" s="31" t="n">
        <x:f>INDEX('等级电流表'!$F$2:$I$17,MATCH($C10,'等级电流表'!$A$2:$A$17,0),3)</x:f>
        <x:v>1000</x:v>
      </x:c>
      <x:c r="H10" s="31" t="n">
        <x:f>INDEX('等级电流表'!$F$2:$I$17,MATCH($C10,'等级电流表'!$A$2:$A$17,0),4)</x:f>
        <x:v>1000</x:v>
      </x:c>
    </x:row>
    <x:row r="11">
      <x:c r="A11" s="36" t="n">
        <x:v>42</x:v>
      </x:c>
      <x:c r="B11" s="36" t="n">
        <x:v>41.4</x:v>
      </x:c>
      <x:c r="C11" s="30" t="n">
        <x:v>13</x:v>
      </x:c>
      <x:c r="D11" s="31" t="n">
        <x:f>INDEX('等级电流表'!$F$2:$I$17,MATCH($C11,'等级电流表'!$A$2:$A$17,0),1)</x:f>
        <x:v>500</x:v>
      </x:c>
      <x:c r="E11" s="31" t="n">
        <x:f>INDEX('等级电流表'!$F$2:$I$17,MATCH($C11,'等级电流表'!$A$2:$A$17,0),2)</x:f>
        <x:v>600</x:v>
      </x:c>
      <x:c r="F11" s="37" t="n">
        <x:f>E11*4/1000</x:f>
        <x:v>2.4</x:v>
      </x:c>
      <x:c r="G11" s="31" t="n">
        <x:f>INDEX('等级电流表'!$F$2:$I$17,MATCH($C11,'等级电流表'!$A$2:$A$17,0),3)</x:f>
        <x:v>800</x:v>
      </x:c>
      <x:c r="H11" s="31" t="n">
        <x:f>INDEX('等级电流表'!$F$2:$I$17,MATCH($C11,'等级电流表'!$A$2:$A$17,0),4)</x:f>
        <x:v>800</x:v>
      </x:c>
    </x:row>
    <x:row r="12">
      <x:c r="A12" s="36" t="n">
        <x:v>43</x:v>
      </x:c>
      <x:c r="B12" s="36" t="n">
        <x:v>42</x:v>
      </x:c>
      <x:c r="C12" s="30" t="n">
        <x:v>14</x:v>
      </x:c>
      <x:c r="D12" s="31" t="n">
        <x:f>INDEX('等级电流表'!$F$2:$I$17,MATCH($C12,'等级电流表'!$A$2:$A$17,0),1)</x:f>
        <x:v>400</x:v>
      </x:c>
      <x:c r="E12" s="31" t="n">
        <x:f>INDEX('等级电流表'!$F$2:$I$17,MATCH($C12,'等级电流表'!$A$2:$A$17,0),2)</x:f>
        <x:v>500</x:v>
      </x:c>
      <x:c r="F12" s="37" t="n">
        <x:f>E12*4/1000</x:f>
        <x:v>2</x:v>
      </x:c>
      <x:c r="G12" s="31" t="n">
        <x:f>INDEX('等级电流表'!$F$2:$I$17,MATCH($C12,'等级电流表'!$A$2:$A$17,0),3)</x:f>
        <x:v>500</x:v>
      </x:c>
      <x:c r="H12" s="31" t="n">
        <x:f>INDEX('等级电流表'!$F$2:$I$17,MATCH($C12,'等级电流表'!$A$2:$A$17,0),4)</x:f>
        <x:v>500</x:v>
      </x:c>
    </x:row>
    <x:row r="13">
      <x:c r="A13" s="36" t="n">
        <x:v>43.6</x:v>
      </x:c>
      <x:c r="B13" s="36" t="n">
        <x:v>43</x:v>
      </x:c>
      <x:c r="C13" s="30" t="n">
        <x:v>14</x:v>
      </x:c>
      <x:c r="D13" s="31" t="n">
        <x:f>INDEX('等级电流表'!$F$2:$I$17,MATCH($C13,'等级电流表'!$A$2:$A$17,0),1)</x:f>
        <x:v>400</x:v>
      </x:c>
      <x:c r="E13" s="31" t="n">
        <x:f>INDEX('等级电流表'!$F$2:$I$17,MATCH($C13,'等级电流表'!$A$2:$A$17,0),2)</x:f>
        <x:v>500</x:v>
      </x:c>
      <x:c r="F13" s="37" t="n">
        <x:f>E13*4/1000</x:f>
        <x:v>2</x:v>
      </x:c>
      <x:c r="G13" s="31" t="n">
        <x:f>INDEX('等级电流表'!$F$2:$I$17,MATCH($C13,'等级电流表'!$A$2:$A$17,0),3)</x:f>
        <x:v>500</x:v>
      </x:c>
      <x:c r="H13" s="31" t="n">
        <x:f>INDEX('等级电流表'!$F$2:$I$17,MATCH($C13,'等级电流表'!$A$2:$A$17,0),4)</x:f>
        <x:v>500</x:v>
      </x:c>
    </x:row>
    <x:row r="14">
      <x:c r="A14" s="36" t="n">
        <x:v>44.5</x:v>
      </x:c>
      <x:c r="B14" s="36" t="n">
        <x:v>43.6</x:v>
      </x:c>
      <x:c r="C14" s="30" t="n">
        <x:v>15</x:v>
      </x:c>
      <x:c r="D14" s="31" t="n">
        <x:f>INDEX('等级电流表'!$F$2:$I$17,MATCH($C14,'等级电流表'!$A$2:$A$17,0),1)</x:f>
        <x:v>300</x:v>
      </x:c>
      <x:c r="E14" s="31" t="n">
        <x:f>INDEX('等级电流表'!$F$2:$I$17,MATCH($C14,'等级电流表'!$A$2:$A$17,0),2)</x:f>
        <x:v>400</x:v>
      </x:c>
      <x:c r="F14" s="37" t="n">
        <x:f>E14*4/1000</x:f>
        <x:v>1.6</x:v>
      </x:c>
      <x:c r="G14" s="31" t="n">
        <x:f>INDEX('等级电流表'!$F$2:$I$17,MATCH($C14,'等级电流表'!$A$2:$A$17,0),3)</x:f>
        <x:v>400</x:v>
      </x:c>
      <x:c r="H14" s="31" t="n">
        <x:f>INDEX('等级电流表'!$F$2:$I$17,MATCH($C14,'等级电流表'!$A$2:$A$17,0),4)</x:f>
        <x:v>400</x:v>
      </x:c>
    </x:row>
  </x:sheetData>
  <x:mergeCells>
    <x:mergeCell ref="A1:H1"/>
  </x:mergeCells>
  <x:conditionalFormatting sqref="A3:A14">
    <x:cfRule type="colorScale" priority="1">
      <x:colorScale>
        <x:cfvo type="min"/>
        <x:cfvo type="percentile" val="50"/>
        <x:cfvo type="max"/>
        <x:color rgb="FF3B82F6"/>
        <x:color rgb="FFFBBF24"/>
        <x:color rgb="FFDC2626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.380001068115234" hidden="0" customWidth="1"/>
    <x:col min="2" max="2" width="49.380001068115234" hidden="0" customWidth="1"/>
    <x:col min="3" max="3" width="49.380001068115234" hidden="0" customWidth="1"/>
    <x:col min="4" max="4" width="49.380001068115234" hidden="0" customWidth="1"/>
    <x:col min="5" max="5" width="49.380001068115234" hidden="0" customWidth="1"/>
    <x:col min="6" max="6" width="49.380001068115234" hidden="0" customWidth="1"/>
    <x:col min="7" max="7" width="49.380001068115234" hidden="0" customWidth="1"/>
    <x:col min="8" max="8" width="49.380001068115234" hidden="0" customWidth="1"/>
  </x:cols>
  <x:sheetData>
    <x:row r="1" ht="28" customHeight="1">
      <x:c r="A1" s="4" t="str">
        <x:v>charge（充电）：虚拟温度 → 等级 → 电流/功率</x:v>
      </x:c>
      <x:c r="B1" s="4" t="str">
        <x:v>charge（充电）：虚拟温度 → 等级 → 电流/功率</x:v>
      </x:c>
      <x:c r="C1" s="4" t="str">
        <x:v>charge（充电）：虚拟温度 → 等级 → 电流/功率</x:v>
      </x:c>
      <x:c r="D1" s="4" t="str">
        <x:v>charge（充电）：虚拟温度 → 等级 → 电流/功率</x:v>
      </x:c>
      <x:c r="E1" s="4" t="str">
        <x:v>charge（充电）：虚拟温度 → 等级 → 电流/功率</x:v>
      </x:c>
      <x:c r="F1" s="4" t="str">
        <x:v>charge（充电）：虚拟温度 → 等级 → 电流/功率</x:v>
      </x:c>
      <x:c r="G1" s="4" t="str">
        <x:v>charge（充电）：虚拟温度 → 等级 → 电流/功率</x:v>
      </x:c>
      <x:c r="H1" s="4" t="str">
        <x:v>charge（充电）：虚拟温度 → 等级 → 电流/功率</x:v>
      </x:c>
    </x:row>
    <x:row r="2">
      <x:c r="A2" s="23" t="str">
        <x:v>虚拟温度 ≥ (trig)</x:v>
      </x:c>
      <x:c r="B2" s="23" t="str">
        <x:v>回落 &lt; (clr)</x:v>
      </x:c>
      <x:c r="C2" s="23" t="str">
        <x:v>等级</x:v>
      </x:c>
      <x:c r="D2" s="23" t="str">
        <x:v>20W 限流</x:v>
      </x:c>
      <x:c r="E2" s="23" t="str">
        <x:v>30W 限流</x:v>
      </x:c>
      <x:c r="F2" s="23" t="str">
        <x:v>30W 功率@4.0V</x:v>
      </x:c>
      <x:c r="G2" s="23" t="str">
        <x:v>50W 限流</x:v>
      </x:c>
      <x:c r="H2" s="23" t="str">
        <x:v>80W 限流</x:v>
      </x:c>
    </x:row>
    <x:row r="3">
      <x:c r="A3" s="38" t="n">
        <x:v>36.8</x:v>
      </x:c>
      <x:c r="B3" s="38" t="n">
        <x:v>36</x:v>
      </x:c>
      <x:c r="C3" s="39" t="n">
        <x:v>3</x:v>
      </x:c>
      <x:c r="D3" s="40" t="n">
        <x:f>INDEX('等级电流表'!$F$2:$I$17,MATCH($C3,'等级电流表'!$A$2:$A$17,0),1)</x:f>
        <x:v>2200</x:v>
      </x:c>
      <x:c r="E3" s="40" t="n">
        <x:f>INDEX('等级电流表'!$F$2:$I$17,MATCH($C3,'等级电流表'!$A$2:$A$17,0),2)</x:f>
        <x:v>3400</x:v>
      </x:c>
      <x:c r="F3" s="41" t="n">
        <x:f>E3*4/1000</x:f>
        <x:v>13.6</x:v>
      </x:c>
      <x:c r="G3" s="40" t="n">
        <x:f>INDEX('等级电流表'!$F$2:$I$17,MATCH($C3,'等级电流表'!$A$2:$A$17,0),3)</x:f>
        <x:v>7000</x:v>
      </x:c>
      <x:c r="H3" s="40" t="n">
        <x:f>INDEX('等级电流表'!$F$2:$I$17,MATCH($C3,'等级电流表'!$A$2:$A$17,0),4)</x:f>
        <x:v>7000</x:v>
      </x:c>
    </x:row>
    <x:row r="4">
      <x:c r="A4" s="36" t="n">
        <x:v>37.9</x:v>
      </x:c>
      <x:c r="B4" s="36" t="n">
        <x:v>36.8</x:v>
      </x:c>
      <x:c r="C4" s="30" t="n">
        <x:v>4</x:v>
      </x:c>
      <x:c r="D4" s="31" t="n">
        <x:f>INDEX('等级电流表'!$F$2:$I$17,MATCH($C4,'等级电流表'!$A$2:$A$17,0),1)</x:f>
        <x:v>1800</x:v>
      </x:c>
      <x:c r="E4" s="31" t="n">
        <x:f>INDEX('等级电流表'!$F$2:$I$17,MATCH($C4,'等级电流表'!$A$2:$A$17,0),2)</x:f>
        <x:v>2800</x:v>
      </x:c>
      <x:c r="F4" s="37" t="n">
        <x:f>E4*4/1000</x:f>
        <x:v>11.2</x:v>
      </x:c>
      <x:c r="G4" s="31" t="n">
        <x:f>INDEX('等级电流表'!$F$2:$I$17,MATCH($C4,'等级电流表'!$A$2:$A$17,0),3)</x:f>
        <x:v>6000</x:v>
      </x:c>
      <x:c r="H4" s="31" t="n">
        <x:f>INDEX('等级电流表'!$F$2:$I$17,MATCH($C4,'等级电流表'!$A$2:$A$17,0),4)</x:f>
        <x:v>6000</x:v>
      </x:c>
    </x:row>
    <x:row r="5">
      <x:c r="A5" s="36" t="n">
        <x:v>38.6</x:v>
      </x:c>
      <x:c r="B5" s="36" t="n">
        <x:v>37.9</x:v>
      </x:c>
      <x:c r="C5" s="30" t="n">
        <x:v>5</x:v>
      </x:c>
      <x:c r="D5" s="31" t="n">
        <x:f>INDEX('等级电流表'!$F$2:$I$17,MATCH($C5,'等级电流表'!$A$2:$A$17,0),1)</x:f>
        <x:v>1500</x:v>
      </x:c>
      <x:c r="E5" s="31" t="n">
        <x:f>INDEX('等级电流表'!$F$2:$I$17,MATCH($C5,'等级电流表'!$A$2:$A$17,0),2)</x:f>
        <x:v>2600</x:v>
      </x:c>
      <x:c r="F5" s="37" t="n">
        <x:f>E5*4/1000</x:f>
        <x:v>10.4</x:v>
      </x:c>
      <x:c r="G5" s="31" t="n">
        <x:f>INDEX('等级电流表'!$F$2:$I$17,MATCH($C5,'等级电流表'!$A$2:$A$17,0),3)</x:f>
        <x:v>5000</x:v>
      </x:c>
      <x:c r="H5" s="31" t="n">
        <x:f>INDEX('等级电流表'!$F$2:$I$17,MATCH($C5,'等级电流表'!$A$2:$A$17,0),4)</x:f>
        <x:v>5000</x:v>
      </x:c>
    </x:row>
    <x:row r="6">
      <x:c r="A6" s="36" t="n">
        <x:v>39.3</x:v>
      </x:c>
      <x:c r="B6" s="36" t="n">
        <x:v>38.6</x:v>
      </x:c>
      <x:c r="C6" s="30" t="n">
        <x:v>6</x:v>
      </x:c>
      <x:c r="D6" s="31" t="n">
        <x:f>INDEX('等级电流表'!$F$2:$I$17,MATCH($C6,'等级电流表'!$A$2:$A$17,0),1)</x:f>
        <x:v>1300</x:v>
      </x:c>
      <x:c r="E6" s="31" t="n">
        <x:f>INDEX('等级电流表'!$F$2:$I$17,MATCH($C6,'等级电流表'!$A$2:$A$17,0),2)</x:f>
        <x:v>2200</x:v>
      </x:c>
      <x:c r="F6" s="37" t="n">
        <x:f>E6*4/1000</x:f>
        <x:v>8.8</x:v>
      </x:c>
      <x:c r="G6" s="31" t="n">
        <x:f>INDEX('等级电流表'!$F$2:$I$17,MATCH($C6,'等级电流表'!$A$2:$A$17,0),3)</x:f>
        <x:v>4000</x:v>
      </x:c>
      <x:c r="H6" s="31" t="n">
        <x:f>INDEX('等级电流表'!$F$2:$I$17,MATCH($C6,'等级电流表'!$A$2:$A$17,0),4)</x:f>
        <x:v>4000</x:v>
      </x:c>
    </x:row>
    <x:row r="7">
      <x:c r="A7" s="36" t="n">
        <x:v>40</x:v>
      </x:c>
      <x:c r="B7" s="36" t="n">
        <x:v>39.3</x:v>
      </x:c>
      <x:c r="C7" s="30" t="n">
        <x:v>7</x:v>
      </x:c>
      <x:c r="D7" s="31" t="n">
        <x:f>INDEX('等级电流表'!$F$2:$I$17,MATCH($C7,'等级电流表'!$A$2:$A$17,0),1)</x:f>
        <x:v>1100</x:v>
      </x:c>
      <x:c r="E7" s="31" t="n">
        <x:f>INDEX('等级电流表'!$F$2:$I$17,MATCH($C7,'等级电流表'!$A$2:$A$17,0),2)</x:f>
        <x:v>2200</x:v>
      </x:c>
      <x:c r="F7" s="37" t="n">
        <x:f>E7*4/1000</x:f>
        <x:v>8.8</x:v>
      </x:c>
      <x:c r="G7" s="31" t="n">
        <x:f>INDEX('等级电流表'!$F$2:$I$17,MATCH($C7,'等级电流表'!$A$2:$A$17,0),3)</x:f>
        <x:v>3500</x:v>
      </x:c>
      <x:c r="H7" s="31" t="n">
        <x:f>INDEX('等级电流表'!$F$2:$I$17,MATCH($C7,'等级电流表'!$A$2:$A$17,0),4)</x:f>
        <x:v>3500</x:v>
      </x:c>
    </x:row>
    <x:row r="8">
      <x:c r="A8" s="36" t="n">
        <x:v>40.7</x:v>
      </x:c>
      <x:c r="B8" s="36" t="n">
        <x:v>40</x:v>
      </x:c>
      <x:c r="C8" s="30" t="n">
        <x:v>8</x:v>
      </x:c>
      <x:c r="D8" s="31" t="n">
        <x:f>INDEX('等级电流表'!$F$2:$I$17,MATCH($C8,'等级电流表'!$A$2:$A$17,0),1)</x:f>
        <x:v>1000</x:v>
      </x:c>
      <x:c r="E8" s="31" t="n">
        <x:f>INDEX('等级电流表'!$F$2:$I$17,MATCH($C8,'等级电流表'!$A$2:$A$17,0),2)</x:f>
        <x:v>1800</x:v>
      </x:c>
      <x:c r="F8" s="37" t="n">
        <x:f>E8*4/1000</x:f>
        <x:v>7.2</x:v>
      </x:c>
      <x:c r="G8" s="31" t="n">
        <x:f>INDEX('等级电流表'!$F$2:$I$17,MATCH($C8,'等级电流表'!$A$2:$A$17,0),3)</x:f>
        <x:v>3000</x:v>
      </x:c>
      <x:c r="H8" s="31" t="n">
        <x:f>INDEX('等级电流表'!$F$2:$I$17,MATCH($C8,'等级电流表'!$A$2:$A$17,0),4)</x:f>
        <x:v>3000</x:v>
      </x:c>
    </x:row>
    <x:row r="9">
      <x:c r="A9" s="36" t="n">
        <x:v>41.3</x:v>
      </x:c>
      <x:c r="B9" s="36" t="n">
        <x:v>40.7</x:v>
      </x:c>
      <x:c r="C9" s="30" t="n">
        <x:v>10</x:v>
      </x:c>
      <x:c r="D9" s="31" t="n">
        <x:f>INDEX('等级电流表'!$F$2:$I$17,MATCH($C9,'等级电流表'!$A$2:$A$17,0),1)</x:f>
        <x:v>700</x:v>
      </x:c>
      <x:c r="E9" s="31" t="n">
        <x:f>INDEX('等级电流表'!$F$2:$I$17,MATCH($C9,'等级电流表'!$A$2:$A$17,0),2)</x:f>
        <x:v>1000</x:v>
      </x:c>
      <x:c r="F9" s="37" t="n">
        <x:f>E9*4/1000</x:f>
        <x:v>4</x:v>
      </x:c>
      <x:c r="G9" s="31" t="n">
        <x:f>INDEX('等级电流表'!$F$2:$I$17,MATCH($C9,'等级电流表'!$A$2:$A$17,0),3)</x:f>
        <x:v>2000</x:v>
      </x:c>
      <x:c r="H9" s="31" t="n">
        <x:f>INDEX('等级电流表'!$F$2:$I$17,MATCH($C9,'等级电流表'!$A$2:$A$17,0),4)</x:f>
        <x:v>2000</x:v>
      </x:c>
    </x:row>
    <x:row r="10">
      <x:c r="A10" s="36" t="n">
        <x:v>41.9</x:v>
      </x:c>
      <x:c r="B10" s="36" t="n">
        <x:v>41.3</x:v>
      </x:c>
      <x:c r="C10" s="30" t="n">
        <x:v>12</x:v>
      </x:c>
      <x:c r="D10" s="31" t="n">
        <x:f>INDEX('等级电流表'!$F$2:$I$17,MATCH($C10,'等级电流表'!$A$2:$A$17,0),1)</x:f>
        <x:v>500</x:v>
      </x:c>
      <x:c r="E10" s="31" t="n">
        <x:f>INDEX('等级电流表'!$F$2:$I$17,MATCH($C10,'等级电流表'!$A$2:$A$17,0),2)</x:f>
        <x:v>700</x:v>
      </x:c>
      <x:c r="F10" s="37" t="n">
        <x:f>E10*4/1000</x:f>
        <x:v>2.8</x:v>
      </x:c>
      <x:c r="G10" s="31" t="n">
        <x:f>INDEX('等级电流表'!$F$2:$I$17,MATCH($C10,'等级电流表'!$A$2:$A$17,0),3)</x:f>
        <x:v>1000</x:v>
      </x:c>
      <x:c r="H10" s="31" t="n">
        <x:f>INDEX('等级电流表'!$F$2:$I$17,MATCH($C10,'等级电流表'!$A$2:$A$17,0),4)</x:f>
        <x:v>1000</x:v>
      </x:c>
    </x:row>
    <x:row r="11">
      <x:c r="A11" s="36" t="n">
        <x:v>42.5</x:v>
      </x:c>
      <x:c r="B11" s="36" t="n">
        <x:v>41.9</x:v>
      </x:c>
      <x:c r="C11" s="30" t="n">
        <x:v>13</x:v>
      </x:c>
      <x:c r="D11" s="31" t="n">
        <x:f>INDEX('等级电流表'!$F$2:$I$17,MATCH($C11,'等级电流表'!$A$2:$A$17,0),1)</x:f>
        <x:v>500</x:v>
      </x:c>
      <x:c r="E11" s="31" t="n">
        <x:f>INDEX('等级电流表'!$F$2:$I$17,MATCH($C11,'等级电流表'!$A$2:$A$17,0),2)</x:f>
        <x:v>600</x:v>
      </x:c>
      <x:c r="F11" s="37" t="n">
        <x:f>E11*4/1000</x:f>
        <x:v>2.4</x:v>
      </x:c>
      <x:c r="G11" s="31" t="n">
        <x:f>INDEX('等级电流表'!$F$2:$I$17,MATCH($C11,'等级电流表'!$A$2:$A$17,0),3)</x:f>
        <x:v>800</x:v>
      </x:c>
      <x:c r="H11" s="31" t="n">
        <x:f>INDEX('等级电流表'!$F$2:$I$17,MATCH($C11,'等级电流表'!$A$2:$A$17,0),4)</x:f>
        <x:v>800</x:v>
      </x:c>
    </x:row>
    <x:row r="12">
      <x:c r="A12" s="36" t="n">
        <x:v>43.1</x:v>
      </x:c>
      <x:c r="B12" s="36" t="n">
        <x:v>42.5</x:v>
      </x:c>
      <x:c r="C12" s="30" t="n">
        <x:v>14</x:v>
      </x:c>
      <x:c r="D12" s="31" t="n">
        <x:f>INDEX('等级电流表'!$F$2:$I$17,MATCH($C12,'等级电流表'!$A$2:$A$17,0),1)</x:f>
        <x:v>400</x:v>
      </x:c>
      <x:c r="E12" s="31" t="n">
        <x:f>INDEX('等级电流表'!$F$2:$I$17,MATCH($C12,'等级电流表'!$A$2:$A$17,0),2)</x:f>
        <x:v>500</x:v>
      </x:c>
      <x:c r="F12" s="37" t="n">
        <x:f>E12*4/1000</x:f>
        <x:v>2</x:v>
      </x:c>
      <x:c r="G12" s="31" t="n">
        <x:f>INDEX('等级电流表'!$F$2:$I$17,MATCH($C12,'等级电流表'!$A$2:$A$17,0),3)</x:f>
        <x:v>500</x:v>
      </x:c>
      <x:c r="H12" s="31" t="n">
        <x:f>INDEX('等级电流表'!$F$2:$I$17,MATCH($C12,'等级电流表'!$A$2:$A$17,0),4)</x:f>
        <x:v>500</x:v>
      </x:c>
    </x:row>
    <x:row r="13">
      <x:c r="A13" s="36" t="n">
        <x:v>43.7</x:v>
      </x:c>
      <x:c r="B13" s="36" t="n">
        <x:v>43.1</x:v>
      </x:c>
      <x:c r="C13" s="30" t="n">
        <x:v>14</x:v>
      </x:c>
      <x:c r="D13" s="31" t="n">
        <x:f>INDEX('等级电流表'!$F$2:$I$17,MATCH($C13,'等级电流表'!$A$2:$A$17,0),1)</x:f>
        <x:v>400</x:v>
      </x:c>
      <x:c r="E13" s="31" t="n">
        <x:f>INDEX('等级电流表'!$F$2:$I$17,MATCH($C13,'等级电流表'!$A$2:$A$17,0),2)</x:f>
        <x:v>500</x:v>
      </x:c>
      <x:c r="F13" s="37" t="n">
        <x:f>E13*4/1000</x:f>
        <x:v>2</x:v>
      </x:c>
      <x:c r="G13" s="31" t="n">
        <x:f>INDEX('等级电流表'!$F$2:$I$17,MATCH($C13,'等级电流表'!$A$2:$A$17,0),3)</x:f>
        <x:v>500</x:v>
      </x:c>
      <x:c r="H13" s="31" t="n">
        <x:f>INDEX('等级电流表'!$F$2:$I$17,MATCH($C13,'等级电流表'!$A$2:$A$17,0),4)</x:f>
        <x:v>500</x:v>
      </x:c>
    </x:row>
    <x:row r="14">
      <x:c r="A14" s="36" t="n">
        <x:v>44.5</x:v>
      </x:c>
      <x:c r="B14" s="36" t="n">
        <x:v>43.7</x:v>
      </x:c>
      <x:c r="C14" s="30" t="n">
        <x:v>15</x:v>
      </x:c>
      <x:c r="D14" s="31" t="n">
        <x:f>INDEX('等级电流表'!$F$2:$I$17,MATCH($C14,'等级电流表'!$A$2:$A$17,0),1)</x:f>
        <x:v>300</x:v>
      </x:c>
      <x:c r="E14" s="31" t="n">
        <x:f>INDEX('等级电流表'!$F$2:$I$17,MATCH($C14,'等级电流表'!$A$2:$A$17,0),2)</x:f>
        <x:v>400</x:v>
      </x:c>
      <x:c r="F14" s="37" t="n">
        <x:f>E14*4/1000</x:f>
        <x:v>1.6</x:v>
      </x:c>
      <x:c r="G14" s="31" t="n">
        <x:f>INDEX('等级电流表'!$F$2:$I$17,MATCH($C14,'等级电流表'!$A$2:$A$17,0),3)</x:f>
        <x:v>400</x:v>
      </x:c>
      <x:c r="H14" s="31" t="n">
        <x:f>INDEX('等级电流表'!$F$2:$I$17,MATCH($C14,'等级电流表'!$A$2:$A$17,0),4)</x:f>
        <x:v>400</x:v>
      </x:c>
    </x:row>
  </x:sheetData>
  <x:mergeCells>
    <x:mergeCell ref="A1:H1"/>
  </x:mergeCells>
  <x:conditionalFormatting sqref="A3:A14">
    <x:cfRule type="colorScale" priority="1">
      <x:colorScale>
        <x:cfvo type="min"/>
        <x:cfvo type="percentile" val="50"/>
        <x:cfvo type="max"/>
        <x:color rgb="FF3B82F6"/>
        <x:color rgb="FFFBBF24"/>
        <x:color rgb="FFDC2626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5.62999725341797" hidden="0" customWidth="1"/>
    <x:col min="2" max="2" width="65.62999725341797" hidden="0" customWidth="1"/>
    <x:col min="3" max="3" width="65.62999725341797" hidden="0" customWidth="1"/>
    <x:col min="4" max="4" width="65.62999725341797" hidden="0" customWidth="1"/>
    <x:col min="5" max="5" width="65.62999725341797" hidden="0" customWidth="1"/>
    <x:col min="6" max="6" width="65.62999725341797" hidden="0" customWidth="1"/>
  </x:cols>
  <x:sheetData>
    <x:row r="1" ht="28" customHeight="1">
      <x:c r="A1" s="4" t="str">
        <x:v>各场景无线触发温度对比（°C，虚拟温度达到即升到对应等级）</x:v>
      </x:c>
      <x:c r="B1" s="4" t="str">
        <x:v>各场景无线触发温度对比（°C，虚拟温度达到即升到对应等级）</x:v>
      </x:c>
      <x:c r="C1" s="4" t="str">
        <x:v>各场景无线触发温度对比（°C，虚拟温度达到即升到对应等级）</x:v>
      </x:c>
      <x:c r="D1" s="4" t="str">
        <x:v>各场景无线触发温度对比（°C，虚拟温度达到即升到对应等级）</x:v>
      </x:c>
      <x:c r="E1" s="4" t="str">
        <x:v>各场景无线触发温度对比（°C，虚拟温度达到即升到对应等级）</x:v>
      </x:c>
      <x:c r="F1" s="4" t="str">
        <x:v>各场景无线触发温度对比（°C，虚拟温度达到即升到对应等级）</x:v>
      </x:c>
    </x:row>
    <x:row r="2">
      <x:c r="A2" s="23" t="str">
        <x:v>场景</x:v>
      </x:c>
      <x:c r="B2" s="23" t="str">
        <x:v>等级3</x:v>
      </x:c>
      <x:c r="C2" s="23" t="str">
        <x:v>等级5</x:v>
      </x:c>
      <x:c r="D2" s="23" t="str">
        <x:v>等级8</x:v>
      </x:c>
      <x:c r="E2" s="23" t="str">
        <x:v>等级10</x:v>
      </x:c>
      <x:c r="F2" s="23" t="str">
        <x:v>等级15</x:v>
      </x:c>
    </x:row>
    <x:row r="3">
      <x:c r="A3" s="44" t="str">
        <x:v>4k</x:v>
      </x:c>
      <x:c r="B3" s="36"/>
      <x:c r="C3" s="36" t="n">
        <x:v>30</x:v>
      </x:c>
      <x:c r="D3" s="36" t="n">
        <x:v>34</x:v>
      </x:c>
      <x:c r="E3" s="36" t="n">
        <x:v>36</x:v>
      </x:c>
      <x:c r="F3" s="36" t="n">
        <x:v>42</x:v>
      </x:c>
    </x:row>
    <x:row r="4">
      <x:c r="A4" s="44" t="str">
        <x:v>arvr</x:v>
      </x:c>
      <x:c r="B4" s="36" t="n">
        <x:v>38.5</x:v>
      </x:c>
      <x:c r="C4" s="36" t="n">
        <x:v>40</x:v>
      </x:c>
      <x:c r="D4" s="36" t="n">
        <x:v>41.7</x:v>
      </x:c>
      <x:c r="E4" s="36" t="n">
        <x:v>42.2</x:v>
      </x:c>
      <x:c r="F4" s="36" t="n">
        <x:v>45.5</x:v>
      </x:c>
    </x:row>
    <x:row r="5">
      <x:c r="A5" s="44" t="str">
        <x:v>camera</x:v>
      </x:c>
      <x:c r="B5" s="36"/>
      <x:c r="C5" s="36" t="n">
        <x:v>30</x:v>
      </x:c>
      <x:c r="D5" s="36" t="n">
        <x:v>34</x:v>
      </x:c>
      <x:c r="E5" s="36" t="n">
        <x:v>36</x:v>
      </x:c>
      <x:c r="F5" s="36" t="n">
        <x:v>42</x:v>
      </x:c>
    </x:row>
    <x:row r="6">
      <x:c r="A6" s="44" t="str">
        <x:v>cclassvideo</x:v>
      </x:c>
      <x:c r="B6" s="36" t="n">
        <x:v>37.5</x:v>
      </x:c>
      <x:c r="C6" s="36" t="n">
        <x:v>39.1</x:v>
      </x:c>
      <x:c r="D6" s="36" t="n">
        <x:v>40.6</x:v>
      </x:c>
      <x:c r="E6" s="36" t="n">
        <x:v>41.2</x:v>
      </x:c>
      <x:c r="F6" s="36" t="n">
        <x:v>44.5</x:v>
      </x:c>
    </x:row>
    <x:row r="7">
      <x:c r="A7" s="44" t="str">
        <x:v>cgame</x:v>
      </x:c>
      <x:c r="B7" s="36" t="n">
        <x:v>36</x:v>
      </x:c>
      <x:c r="C7" s="36" t="n">
        <x:v>40</x:v>
      </x:c>
      <x:c r="D7" s="36" t="n">
        <x:v>42</x:v>
      </x:c>
      <x:c r="E7" s="36"/>
      <x:c r="F7" s="36" t="n">
        <x:v>44</x:v>
      </x:c>
    </x:row>
    <x:row r="8">
      <x:c r="A8" s="44" t="str">
        <x:v>charge</x:v>
      </x:c>
      <x:c r="B8" s="36" t="n">
        <x:v>36.8</x:v>
      </x:c>
      <x:c r="C8" s="36" t="n">
        <x:v>38.6</x:v>
      </x:c>
      <x:c r="D8" s="36" t="n">
        <x:v>40.7</x:v>
      </x:c>
      <x:c r="E8" s="36" t="n">
        <x:v>41.3</x:v>
      </x:c>
      <x:c r="F8" s="36" t="n">
        <x:v>44.5</x:v>
      </x:c>
    </x:row>
    <x:row r="9">
      <x:c r="A9" s="44" t="str">
        <x:v>chg-only</x:v>
      </x:c>
      <x:c r="B9" s="36" t="n">
        <x:v>34</x:v>
      </x:c>
      <x:c r="C9" s="36" t="n">
        <x:v>35.5</x:v>
      </x:c>
      <x:c r="D9" s="36" t="n">
        <x:v>39</x:v>
      </x:c>
      <x:c r="E9" s="36" t="n">
        <x:v>39.5</x:v>
      </x:c>
      <x:c r="F9" s="36" t="n">
        <x:v>44.5</x:v>
      </x:c>
    </x:row>
    <x:row r="10">
      <x:c r="A10" s="44" t="str">
        <x:v>class0</x:v>
      </x:c>
      <x:c r="B10" s="36" t="n">
        <x:v>37.5</x:v>
      </x:c>
      <x:c r="C10" s="36" t="n">
        <x:v>39.1</x:v>
      </x:c>
      <x:c r="D10" s="36" t="n">
        <x:v>40.6</x:v>
      </x:c>
      <x:c r="E10" s="36" t="n">
        <x:v>41.2</x:v>
      </x:c>
      <x:c r="F10" s="36" t="n">
        <x:v>44.5</x:v>
      </x:c>
    </x:row>
    <x:row r="11">
      <x:c r="A11" s="44" t="str">
        <x:v>danmu</x:v>
      </x:c>
      <x:c r="B11" s="36" t="n">
        <x:v>37.5</x:v>
      </x:c>
      <x:c r="C11" s="36" t="n">
        <x:v>39.2</x:v>
      </x:c>
      <x:c r="D11" s="36" t="n">
        <x:v>41</x:v>
      </x:c>
      <x:c r="E11" s="36" t="n">
        <x:v>41.6</x:v>
      </x:c>
      <x:c r="F11" s="36" t="n">
        <x:v>44</x:v>
      </x:c>
    </x:row>
    <x:row r="12">
      <x:c r="A12" s="44" t="str">
        <x:v>highfps</x:v>
      </x:c>
      <x:c r="B12" s="36"/>
      <x:c r="C12" s="36" t="n">
        <x:v>38.5</x:v>
      </x:c>
      <x:c r="D12" s="36" t="n">
        <x:v>40.4</x:v>
      </x:c>
      <x:c r="E12" s="36"/>
      <x:c r="F12" s="36" t="n">
        <x:v>44</x:v>
      </x:c>
    </x:row>
    <x:row r="13">
      <x:c r="A13" s="44" t="str">
        <x:v>hp-mgame</x:v>
      </x:c>
      <x:c r="B13" s="36"/>
      <x:c r="C13" s="36" t="n">
        <x:v>30</x:v>
      </x:c>
      <x:c r="D13" s="36" t="n">
        <x:v>34</x:v>
      </x:c>
      <x:c r="E13" s="36" t="n">
        <x:v>36</x:v>
      </x:c>
      <x:c r="F13" s="36" t="n">
        <x:v>42</x:v>
      </x:c>
    </x:row>
    <x:row r="14">
      <x:c r="A14" s="44" t="str">
        <x:v>hp-normal</x:v>
      </x:c>
      <x:c r="B14" s="36"/>
      <x:c r="C14" s="36" t="n">
        <x:v>30</x:v>
      </x:c>
      <x:c r="D14" s="36" t="n">
        <x:v>34</x:v>
      </x:c>
      <x:c r="E14" s="36" t="n">
        <x:v>36</x:v>
      </x:c>
      <x:c r="F14" s="36" t="n">
        <x:v>42</x:v>
      </x:c>
    </x:row>
    <x:row r="15">
      <x:c r="A15" s="44" t="str">
        <x:v>huanji</x:v>
      </x:c>
      <x:c r="B15" s="36"/>
      <x:c r="C15" s="36"/>
      <x:c r="D15" s="36"/>
      <x:c r="E15" s="36"/>
      <x:c r="F15" s="36" t="n">
        <x:v>40</x:v>
      </x:c>
    </x:row>
    <x:row r="16">
      <x:c r="A16" s="44" t="str">
        <x:v>mgame</x:v>
      </x:c>
      <x:c r="B16" s="36" t="n">
        <x:v>36</x:v>
      </x:c>
      <x:c r="C16" s="36" t="n">
        <x:v>40</x:v>
      </x:c>
      <x:c r="D16" s="36" t="n">
        <x:v>42</x:v>
      </x:c>
      <x:c r="E16" s="36"/>
      <x:c r="F16" s="36" t="n">
        <x:v>44</x:v>
      </x:c>
    </x:row>
    <x:row r="17">
      <x:c r="A17" s="44" t="str">
        <x:v>navigation</x:v>
      </x:c>
      <x:c r="B17" s="36"/>
      <x:c r="C17" s="36" t="n">
        <x:v>30</x:v>
      </x:c>
      <x:c r="D17" s="36" t="n">
        <x:v>34</x:v>
      </x:c>
      <x:c r="E17" s="36" t="n">
        <x:v>36</x:v>
      </x:c>
      <x:c r="F17" s="36" t="n">
        <x:v>42</x:v>
      </x:c>
    </x:row>
    <x:row r="18">
      <x:c r="A18" s="44" t="str">
        <x:v>nolimits</x:v>
      </x:c>
      <x:c r="B18" s="36"/>
      <x:c r="C18" s="36"/>
      <x:c r="D18" s="36"/>
      <x:c r="E18" s="36"/>
      <x:c r="F18" s="36" t="n">
        <x:v>40</x:v>
      </x:c>
    </x:row>
    <x:row r="19">
      <x:c r="A19" s="44" t="str">
        <x:v>normal</x:v>
      </x:c>
      <x:c r="B19" s="36" t="n">
        <x:v>34</x:v>
      </x:c>
      <x:c r="C19" s="36" t="n">
        <x:v>35.5</x:v>
      </x:c>
      <x:c r="D19" s="36" t="n">
        <x:v>39</x:v>
      </x:c>
      <x:c r="E19" s="36" t="n">
        <x:v>39.5</x:v>
      </x:c>
      <x:c r="F19" s="36" t="n">
        <x:v>44.5</x:v>
      </x:c>
    </x:row>
    <x:row r="20">
      <x:c r="A20" s="44" t="str">
        <x:v>per-class0</x:v>
      </x:c>
      <x:c r="B20" s="36" t="n">
        <x:v>37.5</x:v>
      </x:c>
      <x:c r="C20" s="36" t="n">
        <x:v>39.1</x:v>
      </x:c>
      <x:c r="D20" s="36" t="n">
        <x:v>40.6</x:v>
      </x:c>
      <x:c r="E20" s="36" t="n">
        <x:v>41.2</x:v>
      </x:c>
      <x:c r="F20" s="36" t="n">
        <x:v>44.5</x:v>
      </x:c>
    </x:row>
    <x:row r="21">
      <x:c r="A21" s="44" t="str">
        <x:v>per-normal</x:v>
      </x:c>
      <x:c r="B21" s="36" t="n">
        <x:v>34</x:v>
      </x:c>
      <x:c r="C21" s="36" t="n">
        <x:v>35.5</x:v>
      </x:c>
      <x:c r="D21" s="36" t="n">
        <x:v>39</x:v>
      </x:c>
      <x:c r="E21" s="36" t="n">
        <x:v>39.5</x:v>
      </x:c>
      <x:c r="F21" s="36" t="n">
        <x:v>44.5</x:v>
      </x:c>
    </x:row>
    <x:row r="22">
      <x:c r="A22" s="44" t="str">
        <x:v>per-video</x:v>
      </x:c>
      <x:c r="B22" s="36" t="n">
        <x:v>34</x:v>
      </x:c>
      <x:c r="C22" s="36" t="n">
        <x:v>37.2</x:v>
      </x:c>
      <x:c r="D22" s="36" t="n">
        <x:v>39</x:v>
      </x:c>
      <x:c r="E22" s="36" t="n">
        <x:v>39.6</x:v>
      </x:c>
      <x:c r="F22" s="36" t="n">
        <x:v>44</x:v>
      </x:c>
    </x:row>
    <x:row r="23">
      <x:c r="A23" s="44" t="str">
        <x:v>phone</x:v>
      </x:c>
      <x:c r="B23" s="36"/>
      <x:c r="C23" s="36"/>
      <x:c r="D23" s="36"/>
      <x:c r="E23" s="36"/>
      <x:c r="F23" s="36" t="n">
        <x:v>40</x:v>
      </x:c>
    </x:row>
    <x:row r="24">
      <x:c r="A24" s="44" t="str">
        <x:v>tgame</x:v>
      </x:c>
      <x:c r="B24" s="36" t="n">
        <x:v>36</x:v>
      </x:c>
      <x:c r="C24" s="36" t="n">
        <x:v>40</x:v>
      </x:c>
      <x:c r="D24" s="36" t="n">
        <x:v>42</x:v>
      </x:c>
      <x:c r="E24" s="36"/>
      <x:c r="F24" s="36" t="n">
        <x:v>44</x:v>
      </x:c>
    </x:row>
    <x:row r="25">
      <x:c r="A25" s="44" t="str">
        <x:v>video</x:v>
      </x:c>
      <x:c r="B25" s="36" t="n">
        <x:v>34</x:v>
      </x:c>
      <x:c r="C25" s="36" t="n">
        <x:v>37.2</x:v>
      </x:c>
      <x:c r="D25" s="36" t="n">
        <x:v>39</x:v>
      </x:c>
      <x:c r="E25" s="36" t="n">
        <x:v>39.6</x:v>
      </x:c>
      <x:c r="F25" s="36" t="n">
        <x:v>44</x:v>
      </x:c>
    </x:row>
    <x:row r="26">
      <x:c r="A26" s="44" t="str">
        <x:v>videochat</x:v>
      </x:c>
      <x:c r="B26" s="36"/>
      <x:c r="C26" s="36" t="n">
        <x:v>30</x:v>
      </x:c>
      <x:c r="D26" s="36" t="n">
        <x:v>34</x:v>
      </x:c>
      <x:c r="E26" s="36" t="n">
        <x:v>36</x:v>
      </x:c>
      <x:c r="F26" s="36" t="n">
        <x:v>42</x:v>
      </x:c>
    </x:row>
    <x:row r="27">
      <x:c r="A27" s="44" t="str">
        <x:v>xingtie</x:v>
      </x:c>
      <x:c r="B27" s="36" t="n">
        <x:v>36</x:v>
      </x:c>
      <x:c r="C27" s="36" t="n">
        <x:v>40</x:v>
      </x:c>
      <x:c r="D27" s="36" t="n">
        <x:v>42</x:v>
      </x:c>
      <x:c r="E27" s="36"/>
      <x:c r="F27" s="36" t="n">
        <x:v>44</x:v>
      </x:c>
    </x:row>
    <x:row r="28">
      <x:c r="A28" s="44" t="str">
        <x:v>yuanshen</x:v>
      </x:c>
      <x:c r="B28" s="36" t="n">
        <x:v>36</x:v>
      </x:c>
      <x:c r="C28" s="36" t="n">
        <x:v>40</x:v>
      </x:c>
      <x:c r="D28" s="36" t="n">
        <x:v>42</x:v>
      </x:c>
      <x:c r="E28" s="36"/>
      <x:c r="F28" s="36" t="n">
        <x:v>44</x:v>
      </x:c>
    </x:row>
  </x:sheetData>
  <x:mergeCells>
    <x:mergeCell ref="A1:F1"/>
  </x:mergeCells>
  <x:conditionalFormatting sqref="B3:F28">
    <x:cfRule type="colorScale" priority="1">
      <x:colorScale>
        <x:cfvo type="min"/>
        <x:cfvo type="percentile" val="50"/>
        <x:cfvo type="max"/>
        <x:color rgb="FFDC2626"/>
        <x:color rgb="FFFBBF24"/>
        <x:color rgb="FF16A34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1.62999725341797" hidden="0" customWidth="1"/>
    <x:col min="2" max="2" width="101.62999725341797" hidden="0" customWidth="1"/>
    <x:col min="3" max="3" width="101.62999725341797" hidden="0" customWidth="1"/>
    <x:col min="4" max="4" width="101.62999725341797" hidden="0" customWidth="1"/>
    <x:col min="5" max="5" width="101.62999725341797" hidden="0" customWidth="1"/>
    <x:col min="6" max="6" width="101.62999725341797" hidden="0" customWidth="1"/>
    <x:col min="7" max="7" width="101.62999725341797" hidden="0" customWidth="1"/>
    <x:col min="8" max="8" width="101.62999725341797" hidden="0" customWidth="1"/>
    <x:col min="9" max="9" width="101.62999725341797" hidden="0" customWidth="1"/>
  </x:cols>
  <x:sheetData>
    <x:row r="1" ht="28" customHeight="1">
      <x:c r="A1" s="4" t="str">
        <x:v>虚拟温度 VIRTUAL-SENSOR-FORMULA（单位：权重 × 0.1°C 量纲，按 weight_sum=1000 归一 + 补偿）</x:v>
      </x:c>
      <x:c r="B1" s="4" t="str">
        <x:v>虚拟温度 VIRTUAL-SENSOR-FORMULA（单位：权重 × 0.1°C 量纲，按 weight_sum=1000 归一 + 补偿）</x:v>
      </x:c>
      <x:c r="C1" s="4" t="str">
        <x:v>虚拟温度 VIRTUAL-SENSOR-FORMULA（单位：权重 × 0.1°C 量纲，按 weight_sum=1000 归一 + 补偿）</x:v>
      </x:c>
      <x:c r="D1" s="4" t="str">
        <x:v>虚拟温度 VIRTUAL-SENSOR-FORMULA（单位：权重 × 0.1°C 量纲，按 weight_sum=1000 归一 + 补偿）</x:v>
      </x:c>
      <x:c r="E1" s="4" t="str">
        <x:v>虚拟温度 VIRTUAL-SENSOR-FORMULA（单位：权重 × 0.1°C 量纲，按 weight_sum=1000 归一 + 补偿）</x:v>
      </x:c>
      <x:c r="F1" s="4" t="str">
        <x:v>虚拟温度 VIRTUAL-SENSOR-FORMULA（单位：权重 × 0.1°C 量纲，按 weight_sum=1000 归一 + 补偿）</x:v>
      </x:c>
      <x:c r="G1" s="4" t="str">
        <x:v>虚拟温度 VIRTUAL-SENSOR-FORMULA（单位：权重 × 0.1°C 量纲，按 weight_sum=1000 归一 + 补偿）</x:v>
      </x:c>
      <x:c r="H1" s="4" t="str">
        <x:v>虚拟温度 VIRTUAL-SENSOR-FORMULA（单位：权重 × 0.1°C 量纲，按 weight_sum=1000 归一 + 补偿）</x:v>
      </x:c>
      <x:c r="I1" s="4" t="str">
        <x:v>虚拟温度 VIRTUAL-SENSOR-FORMULA（单位：权重 × 0.1°C 量纲，按 weight_sum=1000 归一 + 补偿）</x:v>
      </x:c>
    </x:row>
    <x:row r="3">
      <x:c r="A3" t="str">
        <x:v>方向温度 = (Σ 传感器温度 × 权重) / weight_sum + compensation；最终 = 5 方向平均（math 0）</x:v>
      </x:c>
      <x:c r="B3" t="str">
        <x:v>方向温度 = (Σ 传感器温度 × 权重) / weight_sum + compensation；最终 = 5 方向平均（math 0）</x:v>
      </x:c>
      <x:c r="C3" t="str">
        <x:v>方向温度 = (Σ 传感器温度 × 权重) / weight_sum + compensation；最终 = 5 方向平均（math 0）</x:v>
      </x:c>
      <x:c r="D3" t="str">
        <x:v>方向温度 = (Σ 传感器温度 × 权重) / weight_sum + compensation；最终 = 5 方向平均（math 0）</x:v>
      </x:c>
      <x:c r="E3" t="str">
        <x:v>方向温度 = (Σ 传感器温度 × 权重) / weight_sum + compensation；最终 = 5 方向平均（math 0）</x:v>
      </x:c>
      <x:c r="F3" t="str">
        <x:v>方向温度 = (Σ 传感器温度 × 权重) / weight_sum + compensation；最终 = 5 方向平均（math 0）</x:v>
      </x:c>
      <x:c r="G3" t="str">
        <x:v>方向温度 = (Σ 传感器温度 × 权重) / weight_sum + compensation；最终 = 5 方向平均（math 0）</x:v>
      </x:c>
      <x:c r="H3" t="str">
        <x:v>方向温度 = (Σ 传感器温度 × 权重) / weight_sum + compensation；最终 = 5 方向平均（math 0）</x:v>
      </x:c>
      <x:c r="I3" t="str">
        <x:v>方向温度 = (Σ 传感器温度 × 权重) / weight_sum + compensation；最终 = 5 方向平均（math 0）</x:v>
      </x:c>
    </x:row>
    <x:row r="5">
      <x:c r="A5" s="23" t="str">
        <x:v>方向</x:v>
      </x:c>
      <x:c r="B5" s="23" t="str">
        <x:v>battery</x:v>
      </x:c>
      <x:c r="C5" s="23" t="str">
        <x:v>pa_therm2</x:v>
      </x:c>
      <x:c r="D5" s="23" t="str">
        <x:v>pa_therm1</x:v>
      </x:c>
      <x:c r="E5" s="23" t="str">
        <x:v>charger_therm1</x:v>
      </x:c>
      <x:c r="F5" s="23" t="str">
        <x:v>cpu_therm</x:v>
      </x:c>
      <x:c r="G5" s="23" t="str">
        <x:v>quiet_therm</x:v>
      </x:c>
      <x:c r="H5" s="23" t="str">
        <x:v>wifi_therm</x:v>
      </x:c>
      <x:c r="I5" s="23" t="str">
        <x:v>补偿</x:v>
      </x:c>
    </x:row>
    <x:row r="6">
      <x:c r="A6" s="44" t="str">
        <x:v>FRONT</x:v>
      </x:c>
      <x:c r="B6" s="47" t="n">
        <x:v>500</x:v>
      </x:c>
      <x:c r="C6" s="47" t="n">
        <x:v>130</x:v>
      </x:c>
      <x:c r="D6" s="47" t="n">
        <x:v>-173</x:v>
      </x:c>
      <x:c r="E6" s="47" t="n">
        <x:v>-31</x:v>
      </x:c>
      <x:c r="F6" s="47" t="n">
        <x:v>240</x:v>
      </x:c>
      <x:c r="G6" s="47" t="n">
        <x:v>604</x:v>
      </x:c>
      <x:c r="H6" s="47" t="n">
        <x:v>-375</x:v>
      </x:c>
      <x:c r="I6" s="47" t="n">
        <x:v>2322</x:v>
      </x:c>
    </x:row>
    <x:row r="7">
      <x:c r="A7" s="44" t="str">
        <x:v>BACK</x:v>
      </x:c>
      <x:c r="B7" s="47" t="n">
        <x:v>500</x:v>
      </x:c>
      <x:c r="C7" s="47" t="n">
        <x:v>167</x:v>
      </x:c>
      <x:c r="D7" s="47" t="n">
        <x:v>-500</x:v>
      </x:c>
      <x:c r="E7" s="47" t="n">
        <x:v>25</x:v>
      </x:c>
      <x:c r="F7" s="47" t="n">
        <x:v>124</x:v>
      </x:c>
      <x:c r="G7" s="47" t="n">
        <x:v>461</x:v>
      </x:c>
      <x:c r="H7" s="47" t="n">
        <x:v>149</x:v>
      </x:c>
      <x:c r="I7" s="47" t="n">
        <x:v>1459</x:v>
      </x:c>
    </x:row>
    <x:row r="8">
      <x:c r="A8" s="44" t="str">
        <x:v>LEFT</x:v>
      </x:c>
      <x:c r="B8" s="47" t="n">
        <x:v>500</x:v>
      </x:c>
      <x:c r="C8" s="47" t="n">
        <x:v>191</x:v>
      </x:c>
      <x:c r="D8" s="47" t="n">
        <x:v>-500</x:v>
      </x:c>
      <x:c r="E8" s="47" t="n">
        <x:v>-11</x:v>
      </x:c>
      <x:c r="F8" s="47" t="n">
        <x:v>285</x:v>
      </x:c>
      <x:c r="G8" s="47" t="n">
        <x:v>865</x:v>
      </x:c>
      <x:c r="H8" s="47" t="n">
        <x:v>-414</x:v>
      </x:c>
      <x:c r="I8" s="47" t="n">
        <x:v>1574</x:v>
      </x:c>
    </x:row>
    <x:row r="9">
      <x:c r="A9" s="44" t="str">
        <x:v>RIGHT</x:v>
      </x:c>
      <x:c r="B9" s="47" t="n">
        <x:v>432</x:v>
      </x:c>
      <x:c r="C9" s="47" t="n">
        <x:v>104</x:v>
      </x:c>
      <x:c r="D9" s="47" t="n">
        <x:v>125</x:v>
      </x:c>
      <x:c r="E9" s="47" t="n">
        <x:v>-27</x:v>
      </x:c>
      <x:c r="F9" s="47" t="n">
        <x:v>155</x:v>
      </x:c>
      <x:c r="G9" s="47" t="n">
        <x:v>635</x:v>
      </x:c>
      <x:c r="H9" s="47" t="n">
        <x:v>-500</x:v>
      </x:c>
      <x:c r="I9" s="47" t="n">
        <x:v>1406</x:v>
      </x:c>
    </x:row>
    <x:row r="10">
      <x:c r="A10" s="44" t="str">
        <x:v>TOP</x:v>
      </x:c>
      <x:c r="B10" s="47" t="n">
        <x:v>251</x:v>
      </x:c>
      <x:c r="C10" s="47" t="n">
        <x:v>90</x:v>
      </x:c>
      <x:c r="D10" s="47" t="n">
        <x:v>-335</x:v>
      </x:c>
      <x:c r="E10" s="47" t="n">
        <x:v>-35</x:v>
      </x:c>
      <x:c r="F10" s="47" t="n">
        <x:v>226</x:v>
      </x:c>
      <x:c r="G10" s="47" t="n">
        <x:v>943</x:v>
      </x:c>
      <x:c r="H10" s="47" t="n">
        <x:v>-209</x:v>
      </x:c>
      <x:c r="I10" s="47" t="n">
        <x:v>1176</x:v>
      </x:c>
    </x:row>
    <x:row r="12">
      <x:c r="A12" s="15" t="str">
        <x:v>权重可正可负（负权重会压低虚拟温度），补偿值把结果抬到体感区间。</x:v>
      </x:c>
      <x:c r="B12" s="15" t="str">
        <x:v>权重可正可负（负权重会压低虚拟温度），补偿值把结果抬到体感区间。</x:v>
      </x:c>
      <x:c r="C12" s="15" t="str">
        <x:v>权重可正可负（负权重会压低虚拟温度），补偿值把结果抬到体感区间。</x:v>
      </x:c>
      <x:c r="D12" s="15" t="str">
        <x:v>权重可正可负（负权重会压低虚拟温度），补偿值把结果抬到体感区间。</x:v>
      </x:c>
      <x:c r="E12" s="15" t="str">
        <x:v>权重可正可负（负权重会压低虚拟温度），补偿值把结果抬到体感区间。</x:v>
      </x:c>
      <x:c r="F12" s="15" t="str">
        <x:v>权重可正可负（负权重会压低虚拟温度），补偿值把结果抬到体感区间。</x:v>
      </x:c>
      <x:c r="G12" s="15" t="str">
        <x:v>权重可正可负（负权重会压低虚拟温度），补偿值把结果抬到体感区间。</x:v>
      </x:c>
      <x:c r="H12" s="15" t="str">
        <x:v>权重可正可负（负权重会压低虚拟温度），补偿值把结果抬到体感区间。</x:v>
      </x:c>
      <x:c r="I12" s="15" t="str">
        <x:v>权重可正可负（负权重会压低虚拟温度），补偿值把结果抬到体感区间。</x:v>
      </x:c>
    </x:row>
    <x:row r="13">
      <x:c r="A13" s="15" t="str">
        <x:v>所以虚拟温度 ≠ 任何单一传感器读数：机身综合发热才决定无线充电限流等级。</x:v>
      </x:c>
      <x:c r="B13" s="15" t="str">
        <x:v>所以虚拟温度 ≠ 任何单一传感器读数：机身综合发热才决定无线充电限流等级。</x:v>
      </x:c>
      <x:c r="C13" s="15" t="str">
        <x:v>所以虚拟温度 ≠ 任何单一传感器读数：机身综合发热才决定无线充电限流等级。</x:v>
      </x:c>
      <x:c r="D13" s="15" t="str">
        <x:v>所以虚拟温度 ≠ 任何单一传感器读数：机身综合发热才决定无线充电限流等级。</x:v>
      </x:c>
      <x:c r="E13" s="15" t="str">
        <x:v>所以虚拟温度 ≠ 任何单一传感器读数：机身综合发热才决定无线充电限流等级。</x:v>
      </x:c>
      <x:c r="F13" s="15" t="str">
        <x:v>所以虚拟温度 ≠ 任何单一传感器读数：机身综合发热才决定无线充电限流等级。</x:v>
      </x:c>
      <x:c r="G13" s="15" t="str">
        <x:v>所以虚拟温度 ≠ 任何单一传感器读数：机身综合发热才决定无线充电限流等级。</x:v>
      </x:c>
      <x:c r="H13" s="15" t="str">
        <x:v>所以虚拟温度 ≠ 任何单一传感器读数：机身综合发热才决定无线充电限流等级。</x:v>
      </x:c>
      <x:c r="I13" s="15" t="str">
        <x:v>所以虚拟温度 ≠ 任何单一传感器读数：机身综合发热才决定无线充电限流等级。</x:v>
      </x:c>
    </x:row>
  </x:sheetData>
  <x:mergeCells>
    <x:mergeCell ref="A1:I1"/>
    <x:mergeCell ref="A3:I3"/>
    <x:mergeCell ref="A12:I12"/>
    <x:mergeCell ref="A13:I13"/>
  </x:mergeCells>
  <x:conditionalFormatting sqref="B6:I10">
    <x:cfRule type="colorScale" priority="1">
      <x:colorScale>
        <x:cfvo type="min"/>
        <x:cfvo type="percentile" val="50"/>
        <x:cfvo type="max"/>
        <x:color rgb="FFDC2626"/>
        <x:color rgb="FFFFFFFF"/>
        <x:color rgb="FF16A34A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46" hidden="0" customWidth="1"/>
  </x:cols>
  <x:sheetData>
    <x:row r="1" ht="28" customHeight="1">
      <x:c r="A1" s="4" t="str">
        <x:v>充电/热控场景清单（117 个）</x:v>
      </x:c>
      <x:c r="B1" s="4" t="str">
        <x:v>充电/热控场景清单（117 个）</x:v>
      </x:c>
      <x:c r="C1" s="4" t="str">
        <x:v>充电/热控场景清单（117 个）</x:v>
      </x:c>
    </x:row>
    <x:row r="2">
      <x:c r="A2" s="23" t="str">
        <x:v>场景文件</x:v>
      </x:c>
      <x:c r="B2" s="23" t="str">
        <x:v>含义</x:v>
      </x:c>
    </x:row>
    <x:row r="3">
      <x:c r="A3" s="44" t="str">
        <x:v>thermal-normal.conf</x:v>
      </x:c>
      <x:c r="B3" s="44" t="str">
        <x:v>日常/常规</x:v>
      </x:c>
    </x:row>
    <x:row r="4">
      <x:c r="A4" s="44" t="str">
        <x:v>thermal-huanji.conf</x:v>
      </x:c>
      <x:c r="B4" s="44" t="str">
        <x:v>幻迹</x:v>
      </x:c>
    </x:row>
    <x:row r="5">
      <x:c r="A5" s="44" t="str">
        <x:v>thermal-abnormal.conf</x:v>
      </x:c>
      <x:c r="B5" s="44" t="str">
        <x:v>异常/兜底</x:v>
      </x:c>
    </x:row>
    <x:row r="6">
      <x:c r="A6" s="44" t="str">
        <x:v>thermal-nightvideo.conf</x:v>
      </x:c>
      <x:c r="B6" s="44" t="str">
        <x:v>夜间录像</x:v>
      </x:c>
    </x:row>
    <x:row r="7">
      <x:c r="A7" s="44" t="str">
        <x:v>thermal-dolbyvision.conf</x:v>
      </x:c>
      <x:c r="B7" s="44" t="str">
        <x:v>杜比视界</x:v>
      </x:c>
    </x:row>
    <x:row r="8">
      <x:c r="A8" s="44" t="str">
        <x:v>thermal-phone.conf</x:v>
      </x:c>
      <x:c r="B8" s="44" t="str">
        <x:v>通话</x:v>
      </x:c>
    </x:row>
    <x:row r="9">
      <x:c r="A9" s="44" t="str">
        <x:v>thermal-nolimits.conf</x:v>
      </x:c>
      <x:c r="B9" s="44" t="str">
        <x:v>跑分/无限制（CPU 不温控）</x:v>
      </x:c>
    </x:row>
    <x:row r="10">
      <x:c r="A10" s="44" t="str">
        <x:v>thermal-class0.conf</x:v>
      </x:c>
      <x:c r="B10" s="44" t="str">
        <x:v>Class 0</x:v>
      </x:c>
    </x:row>
    <x:row r="11">
      <x:c r="A11" s="44" t="str">
        <x:v>thermal-youtube.conf</x:v>
      </x:c>
      <x:c r="B11" s="44" t="str">
        <x:v>YouTube</x:v>
      </x:c>
    </x:row>
    <x:row r="12">
      <x:c r="A12" s="44" t="str">
        <x:v>thermal-arvr.conf</x:v>
      </x:c>
      <x:c r="B12" s="44" t="str">
        <x:v>AR/VR</x:v>
      </x:c>
    </x:row>
    <x:row r="13">
      <x:c r="A13" s="44" t="str">
        <x:v>thermal-navigation.conf</x:v>
      </x:c>
      <x:c r="B13" s="44" t="str">
        <x:v>导航</x:v>
      </x:c>
    </x:row>
    <x:row r="14">
      <x:c r="A14" s="44" t="str">
        <x:v>thermal-video.conf</x:v>
      </x:c>
      <x:c r="B14" s="44" t="str">
        <x:v>视频</x:v>
      </x:c>
    </x:row>
    <x:row r="15">
      <x:c r="A15" s="44" t="str">
        <x:v>thermal-demo.conf</x:v>
      </x:c>
      <x:c r="B15" s="44" t="str">
        <x:v>演示</x:v>
      </x:c>
    </x:row>
    <x:row r="16">
      <x:c r="A16" s="44" t="str">
        <x:v>thermal-sptm.conf</x:v>
      </x:c>
      <x:c r="B16" s="44" t="str">
        <x:v>SPTM 安全</x:v>
      </x:c>
    </x:row>
    <x:row r="17">
      <x:c r="A17" s="44" t="str">
        <x:v>thermal-videochat.conf</x:v>
      </x:c>
      <x:c r="B17" s="44" t="str">
        <x:v>视频通话</x:v>
      </x:c>
    </x:row>
    <x:row r="18">
      <x:c r="A18" s="44" t="str">
        <x:v>thermal-camera.conf</x:v>
      </x:c>
      <x:c r="B18" s="44" t="str">
        <x:v>相机</x:v>
      </x:c>
    </x:row>
    <x:row r="19">
      <x:c r="A19" s="44" t="str">
        <x:v>thermal-4k.conf</x:v>
      </x:c>
      <x:c r="B19" s="44" t="str">
        <x:v>4K 录像</x:v>
      </x:c>
    </x:row>
    <x:row r="20">
      <x:c r="A20" s="44" t="str">
        <x:v>thermal-tgame.conf</x:v>
      </x:c>
      <x:c r="B20" s="44" t="str">
        <x:v>重度游戏</x:v>
      </x:c>
    </x:row>
    <x:row r="21">
      <x:c r="A21" s="44" t="str">
        <x:v>thermal-mgame.conf</x:v>
      </x:c>
      <x:c r="B21" s="44" t="str">
        <x:v>中度游戏</x:v>
      </x:c>
    </x:row>
    <x:row r="22">
      <x:c r="A22" s="44" t="str">
        <x:v>thermal-yuanshen.conf</x:v>
      </x:c>
      <x:c r="B22" s="44" t="str">
        <x:v>原神</x:v>
      </x:c>
    </x:row>
    <x:row r="23">
      <x:c r="A23" s="44" t="str">
        <x:v>thermal-xingtie.conf</x:v>
      </x:c>
      <x:c r="B23" s="44" t="str">
        <x:v>星穹铁道</x:v>
      </x:c>
    </x:row>
    <x:row r="24">
      <x:c r="A24" s="44" t="str">
        <x:v>thermal-highfps.conf</x:v>
      </x:c>
      <x:c r="B24" s="44" t="str">
        <x:v>高帧率</x:v>
      </x:c>
    </x:row>
    <x:row r="25">
      <x:c r="A25" s="44" t="str">
        <x:v>thermal-charge.conf</x:v>
      </x:c>
      <x:c r="B25" s="44" t="str">
        <x:v>充电中</x:v>
      </x:c>
    </x:row>
    <x:row r="26">
      <x:c r="A26" s="44" t="str">
        <x:v>thermal-per-normal.conf</x:v>
      </x:c>
      <x:c r="B26" s="44" t="str">
        <x:v>日常/常规（性能模式）</x:v>
      </x:c>
    </x:row>
    <x:row r="27">
      <x:c r="A27" s="44" t="str">
        <x:v>thermal-per-abnormal.conf</x:v>
      </x:c>
      <x:c r="B27" s="44" t="str">
        <x:v>异常/兜底（性能模式）</x:v>
      </x:c>
    </x:row>
    <x:row r="28">
      <x:c r="A28" s="44" t="str">
        <x:v>thermal-per-class0.conf</x:v>
      </x:c>
      <x:c r="B28" s="44" t="str">
        <x:v>Class 0（性能模式）</x:v>
      </x:c>
    </x:row>
    <x:row r="29">
      <x:c r="A29" s="44" t="str">
        <x:v>thermal-per-youtube.conf</x:v>
      </x:c>
      <x:c r="B29" s="44" t="str">
        <x:v>YouTube（性能模式）</x:v>
      </x:c>
    </x:row>
    <x:row r="30">
      <x:c r="A30" s="44" t="str">
        <x:v>thermal-per-navigation.conf</x:v>
      </x:c>
      <x:c r="B30" s="44" t="str">
        <x:v>导航（性能模式）</x:v>
      </x:c>
    </x:row>
    <x:row r="31">
      <x:c r="A31" s="44" t="str">
        <x:v>thermal-per-video.conf</x:v>
      </x:c>
      <x:c r="B31" s="44" t="str">
        <x:v>视频（性能模式）</x:v>
      </x:c>
    </x:row>
    <x:row r="32">
      <x:c r="A32" s="44" t="str">
        <x:v>thermal-normal-unfold.conf</x:v>
      </x:c>
      <x:c r="B32" s="44" t="str">
        <x:v>日常/常规（折叠屏展开态）</x:v>
      </x:c>
    </x:row>
    <x:row r="33">
      <x:c r="A33" s="44" t="str">
        <x:v>thermal-huanji-unfold.conf</x:v>
      </x:c>
      <x:c r="B33" s="44" t="str">
        <x:v>幻迹（折叠屏展开态）</x:v>
      </x:c>
    </x:row>
    <x:row r="34">
      <x:c r="A34" s="44" t="str">
        <x:v>thermal-abnormal-unfold.conf</x:v>
      </x:c>
      <x:c r="B34" s="44" t="str">
        <x:v>异常/兜底（折叠屏展开态）</x:v>
      </x:c>
    </x:row>
    <x:row r="35">
      <x:c r="A35" s="44" t="str">
        <x:v>thermal-nightvideo-unfold.conf</x:v>
      </x:c>
      <x:c r="B35" s="44" t="str">
        <x:v>夜间录像（折叠屏展开态）</x:v>
      </x:c>
    </x:row>
    <x:row r="36">
      <x:c r="A36" s="44" t="str">
        <x:v>thermal-dolbyvision-unfold.conf</x:v>
      </x:c>
      <x:c r="B36" s="44" t="str">
        <x:v>杜比视界（折叠屏展开态）</x:v>
      </x:c>
    </x:row>
    <x:row r="37">
      <x:c r="A37" s="44" t="str">
        <x:v>thermal-phone-unfold.conf</x:v>
      </x:c>
      <x:c r="B37" s="44" t="str">
        <x:v>通话（折叠屏展开态）</x:v>
      </x:c>
    </x:row>
    <x:row r="38">
      <x:c r="A38" s="44" t="str">
        <x:v>thermal-nolimits-unfold.conf</x:v>
      </x:c>
      <x:c r="B38" s="44" t="str">
        <x:v>跑分/无限制（CPU 不温控）（折叠屏展开态）</x:v>
      </x:c>
    </x:row>
    <x:row r="39">
      <x:c r="A39" s="44" t="str">
        <x:v>thermal-class0-unfold.conf</x:v>
      </x:c>
      <x:c r="B39" s="44" t="str">
        <x:v>Class 0（折叠屏展开态）</x:v>
      </x:c>
    </x:row>
    <x:row r="40">
      <x:c r="A40" s="44" t="str">
        <x:v>thermal-youtube-unfold.conf</x:v>
      </x:c>
      <x:c r="B40" s="44" t="str">
        <x:v>YouTube（折叠屏展开态）</x:v>
      </x:c>
    </x:row>
    <x:row r="41">
      <x:c r="A41" s="44" t="str">
        <x:v>thermal-arvr-unfold.conf</x:v>
      </x:c>
      <x:c r="B41" s="44" t="str">
        <x:v>AR/VR（折叠屏展开态）</x:v>
      </x:c>
    </x:row>
    <x:row r="42">
      <x:c r="A42" s="44" t="str">
        <x:v>thermal-navigation-unfold.conf</x:v>
      </x:c>
      <x:c r="B42" s="44" t="str">
        <x:v>导航（折叠屏展开态）</x:v>
      </x:c>
    </x:row>
    <x:row r="43">
      <x:c r="A43" s="44" t="str">
        <x:v>thermal-video-unfold.conf</x:v>
      </x:c>
      <x:c r="B43" s="44" t="str">
        <x:v>视频（折叠屏展开态）</x:v>
      </x:c>
    </x:row>
    <x:row r="44">
      <x:c r="A44" s="44" t="str">
        <x:v>thermal-demo-unfold.conf</x:v>
      </x:c>
      <x:c r="B44" s="44" t="str">
        <x:v>演示（折叠屏展开态）</x:v>
      </x:c>
    </x:row>
    <x:row r="45">
      <x:c r="A45" s="44" t="str">
        <x:v>thermal-sptm-unfold.conf</x:v>
      </x:c>
      <x:c r="B45" s="44" t="str">
        <x:v>SPTM 安全（折叠屏展开态）</x:v>
      </x:c>
    </x:row>
    <x:row r="46">
      <x:c r="A46" s="44" t="str">
        <x:v>thermal-videochat-unfold.conf</x:v>
      </x:c>
      <x:c r="B46" s="44" t="str">
        <x:v>视频通话（折叠屏展开态）</x:v>
      </x:c>
    </x:row>
    <x:row r="47">
      <x:c r="A47" s="44" t="str">
        <x:v>thermal-camera-unfold.conf</x:v>
      </x:c>
      <x:c r="B47" s="44" t="str">
        <x:v>相机（折叠屏展开态）</x:v>
      </x:c>
    </x:row>
    <x:row r="48">
      <x:c r="A48" s="44" t="str">
        <x:v>thermal-4k-unfold.conf</x:v>
      </x:c>
      <x:c r="B48" s="44" t="str">
        <x:v>4K 录像（折叠屏展开态）</x:v>
      </x:c>
    </x:row>
    <x:row r="49">
      <x:c r="A49" s="44" t="str">
        <x:v>thermal-tgame-unfold.conf</x:v>
      </x:c>
      <x:c r="B49" s="44" t="str">
        <x:v>重度游戏（折叠屏展开态）</x:v>
      </x:c>
    </x:row>
    <x:row r="50">
      <x:c r="A50" s="44" t="str">
        <x:v>thermal-mgame-unfold.conf</x:v>
      </x:c>
      <x:c r="B50" s="44" t="str">
        <x:v>中度游戏（折叠屏展开态）</x:v>
      </x:c>
    </x:row>
    <x:row r="51">
      <x:c r="A51" s="44" t="str">
        <x:v>thermal-yuanshen-unfold.conf</x:v>
      </x:c>
      <x:c r="B51" s="44" t="str">
        <x:v>原神（折叠屏展开态）</x:v>
      </x:c>
    </x:row>
    <x:row r="52">
      <x:c r="A52" s="44" t="str">
        <x:v>thermal-per-normal-unfold.conf</x:v>
      </x:c>
      <x:c r="B52" s="44" t="str">
        <x:v>日常/常规（性能模式，折叠屏展开态）</x:v>
      </x:c>
    </x:row>
    <x:row r="53">
      <x:c r="A53" s="44" t="str">
        <x:v>thermal-per-abnormal-unfold.conf</x:v>
      </x:c>
      <x:c r="B53" s="44" t="str">
        <x:v>异常/兜底（性能模式，折叠屏展开态）</x:v>
      </x:c>
    </x:row>
    <x:row r="54">
      <x:c r="A54" s="44" t="str">
        <x:v>thermal-per-class0-unfold.conf</x:v>
      </x:c>
      <x:c r="B54" s="44" t="str">
        <x:v>Class 0（性能模式，折叠屏展开态）</x:v>
      </x:c>
    </x:row>
    <x:row r="55">
      <x:c r="A55" s="44" t="str">
        <x:v>thermal-per-youtube-unfold.conf</x:v>
      </x:c>
      <x:c r="B55" s="44" t="str">
        <x:v>YouTube（性能模式，折叠屏展开态）</x:v>
      </x:c>
    </x:row>
    <x:row r="56">
      <x:c r="A56" s="44" t="str">
        <x:v>thermal-per-navigation-unfold.conf</x:v>
      </x:c>
      <x:c r="B56" s="44" t="str">
        <x:v>导航（性能模式，折叠屏展开态）</x:v>
      </x:c>
    </x:row>
    <x:row r="57">
      <x:c r="A57" s="44" t="str">
        <x:v>thermal-per-video-unfold.conf</x:v>
      </x:c>
      <x:c r="B57" s="44" t="str">
        <x:v>视频（性能模式，折叠屏展开态）</x:v>
      </x:c>
    </x:row>
    <x:row r="58">
      <x:c r="A58" s="44" t="str">
        <x:v>thermal-iec-normal.conf</x:v>
      </x:c>
      <x:c r="B58" s="44" t="str">
        <x:v>日常/常规（IEC 变体）</x:v>
      </x:c>
    </x:row>
    <x:row r="59">
      <x:c r="A59" s="44" t="str">
        <x:v>thermal-iec-huanji.conf</x:v>
      </x:c>
      <x:c r="B59" s="44" t="str">
        <x:v>幻迹（IEC 变体）</x:v>
      </x:c>
    </x:row>
    <x:row r="60">
      <x:c r="A60" s="44" t="str">
        <x:v>thermal-iec-abnormal.conf</x:v>
      </x:c>
      <x:c r="B60" s="44" t="str">
        <x:v>异常/兜底（IEC 变体）</x:v>
      </x:c>
    </x:row>
    <x:row r="61">
      <x:c r="A61" s="44" t="str">
        <x:v>thermal-iec-nightvideo.conf</x:v>
      </x:c>
      <x:c r="B61" s="44" t="str">
        <x:v>夜间录像（IEC 变体）</x:v>
      </x:c>
    </x:row>
    <x:row r="62">
      <x:c r="A62" s="44" t="str">
        <x:v>thermal-iec-dolbyvision.conf</x:v>
      </x:c>
      <x:c r="B62" s="44" t="str">
        <x:v>杜比视界（IEC 变体）</x:v>
      </x:c>
    </x:row>
    <x:row r="63">
      <x:c r="A63" s="44" t="str">
        <x:v>thermal-iec-phone.conf</x:v>
      </x:c>
      <x:c r="B63" s="44" t="str">
        <x:v>通话（IEC 变体）</x:v>
      </x:c>
    </x:row>
    <x:row r="64">
      <x:c r="A64" s="44" t="str">
        <x:v>thermal-iec-nolimits.conf</x:v>
      </x:c>
      <x:c r="B64" s="44" t="str">
        <x:v>跑分/无限制（CPU 不温控）（IEC 变体）</x:v>
      </x:c>
    </x:row>
    <x:row r="65">
      <x:c r="A65" s="44" t="str">
        <x:v>thermal-iec-class0.conf</x:v>
      </x:c>
      <x:c r="B65" s="44" t="str">
        <x:v>Class 0（IEC 变体）</x:v>
      </x:c>
    </x:row>
    <x:row r="66">
      <x:c r="A66" s="44" t="str">
        <x:v>thermal-iec-youtube.conf</x:v>
      </x:c>
      <x:c r="B66" s="44" t="str">
        <x:v>YouTube（IEC 变体）</x:v>
      </x:c>
    </x:row>
    <x:row r="67">
      <x:c r="A67" s="44" t="str">
        <x:v>thermal-iec-arvr.conf</x:v>
      </x:c>
      <x:c r="B67" s="44" t="str">
        <x:v>AR/VR（IEC 变体）</x:v>
      </x:c>
    </x:row>
    <x:row r="68">
      <x:c r="A68" s="44" t="str">
        <x:v>thermal-iec-navigation.conf</x:v>
      </x:c>
      <x:c r="B68" s="44" t="str">
        <x:v>导航（IEC 变体）</x:v>
      </x:c>
    </x:row>
    <x:row r="69">
      <x:c r="A69" s="44" t="str">
        <x:v>thermal-iec-video.conf</x:v>
      </x:c>
      <x:c r="B69" s="44" t="str">
        <x:v>视频（IEC 变体）</x:v>
      </x:c>
    </x:row>
    <x:row r="70">
      <x:c r="A70" s="44" t="str">
        <x:v>thermal-iec-demo.conf</x:v>
      </x:c>
      <x:c r="B70" s="44" t="str">
        <x:v>演示（IEC 变体）</x:v>
      </x:c>
    </x:row>
    <x:row r="71">
      <x:c r="A71" s="44" t="str">
        <x:v>thermal-iec-sptm.conf</x:v>
      </x:c>
      <x:c r="B71" s="44" t="str">
        <x:v>SPTM 安全（IEC 变体）</x:v>
      </x:c>
    </x:row>
    <x:row r="72">
      <x:c r="A72" s="44" t="str">
        <x:v>thermal-iec-videochat.conf</x:v>
      </x:c>
      <x:c r="B72" s="44" t="str">
        <x:v>视频通话（IEC 变体）</x:v>
      </x:c>
    </x:row>
    <x:row r="73">
      <x:c r="A73" s="44" t="str">
        <x:v>thermal-iec-camera.conf</x:v>
      </x:c>
      <x:c r="B73" s="44" t="str">
        <x:v>相机（IEC 变体）</x:v>
      </x:c>
    </x:row>
    <x:row r="74">
      <x:c r="A74" s="44" t="str">
        <x:v>thermal-iec-4k.conf</x:v>
      </x:c>
      <x:c r="B74" s="44" t="str">
        <x:v>4K 录像（IEC 变体）</x:v>
      </x:c>
    </x:row>
    <x:row r="75">
      <x:c r="A75" s="44" t="str">
        <x:v>thermal-iec-tgame.conf</x:v>
      </x:c>
      <x:c r="B75" s="44" t="str">
        <x:v>重度游戏（IEC 变体）</x:v>
      </x:c>
    </x:row>
    <x:row r="76">
      <x:c r="A76" s="44" t="str">
        <x:v>thermal-iec-mgame.conf</x:v>
      </x:c>
      <x:c r="B76" s="44" t="str">
        <x:v>中度游戏（IEC 变体）</x:v>
      </x:c>
    </x:row>
    <x:row r="77">
      <x:c r="A77" s="44" t="str">
        <x:v>thermal-iec-yuanshen.conf</x:v>
      </x:c>
      <x:c r="B77" s="44" t="str">
        <x:v>原神（IEC 变体）</x:v>
      </x:c>
    </x:row>
    <x:row r="78">
      <x:c r="A78" s="44" t="str">
        <x:v>thermal-iec-per-normal.conf</x:v>
      </x:c>
      <x:c r="B78" s="44" t="str">
        <x:v>性能-常规（IEC 变体）</x:v>
      </x:c>
    </x:row>
    <x:row r="79">
      <x:c r="A79" s="44" t="str">
        <x:v>thermal-iec-per-abnormal.conf</x:v>
      </x:c>
      <x:c r="B79" s="44" t="str">
        <x:v>性能-异常（IEC 变体）</x:v>
      </x:c>
    </x:row>
    <x:row r="80">
      <x:c r="A80" s="44" t="str">
        <x:v>thermal-iec-per-class0.conf</x:v>
      </x:c>
      <x:c r="B80" s="44" t="str">
        <x:v>性能-Class0（IEC 变体）</x:v>
      </x:c>
    </x:row>
    <x:row r="81">
      <x:c r="A81" s="44" t="str">
        <x:v>thermal-iec-per-youtube.conf</x:v>
      </x:c>
      <x:c r="B81" s="44" t="str">
        <x:v>性能-YouTube（IEC 变体）</x:v>
      </x:c>
    </x:row>
    <x:row r="82">
      <x:c r="A82" s="44" t="str">
        <x:v>thermal-iec-per-navigation.conf</x:v>
      </x:c>
      <x:c r="B82" s="44" t="str">
        <x:v>性能-导航（IEC 变体）</x:v>
      </x:c>
    </x:row>
    <x:row r="83">
      <x:c r="A83" s="44" t="str">
        <x:v>thermal-iec-per-video.conf</x:v>
      </x:c>
      <x:c r="B83" s="44" t="str">
        <x:v>性能-视频（IEC 变体）</x:v>
      </x:c>
    </x:row>
    <x:row r="84">
      <x:c r="A84" s="44" t="str">
        <x:v>thermal-iec-normal-unfold.conf</x:v>
      </x:c>
      <x:c r="B84" s="44" t="str">
        <x:v>日常/常规（IEC 变体，折叠屏展开态）</x:v>
      </x:c>
    </x:row>
    <x:row r="85">
      <x:c r="A85" s="44" t="str">
        <x:v>thermal-iec-huanji-unfold.conf</x:v>
      </x:c>
      <x:c r="B85" s="44" t="str">
        <x:v>幻迹（IEC 变体，折叠屏展开态）</x:v>
      </x:c>
    </x:row>
    <x:row r="86">
      <x:c r="A86" s="44" t="str">
        <x:v>thermal-iec-abnormal-unfold.conf</x:v>
      </x:c>
      <x:c r="B86" s="44" t="str">
        <x:v>异常/兜底（IEC 变体，折叠屏展开态）</x:v>
      </x:c>
    </x:row>
    <x:row r="87">
      <x:c r="A87" s="44" t="str">
        <x:v>thermal-iec-nightvideo-unfold.conf</x:v>
      </x:c>
      <x:c r="B87" s="44" t="str">
        <x:v>夜间录像（IEC 变体，折叠屏展开态）</x:v>
      </x:c>
    </x:row>
    <x:row r="88">
      <x:c r="A88" s="44" t="str">
        <x:v>thermal-iec-dolbyvision-unfold.conf</x:v>
      </x:c>
      <x:c r="B88" s="44" t="str">
        <x:v>杜比视界（IEC 变体，折叠屏展开态）</x:v>
      </x:c>
    </x:row>
    <x:row r="89">
      <x:c r="A89" s="44" t="str">
        <x:v>thermal-iec-phone-unfold.conf</x:v>
      </x:c>
      <x:c r="B89" s="44" t="str">
        <x:v>通话（IEC 变体，折叠屏展开态）</x:v>
      </x:c>
    </x:row>
    <x:row r="90">
      <x:c r="A90" s="44" t="str">
        <x:v>thermal-iec-nolimits-unfold.conf</x:v>
      </x:c>
      <x:c r="B90" s="44" t="str">
        <x:v>跑分/无限制（CPU 不温控）（IEC 变体，折叠屏展开态）</x:v>
      </x:c>
    </x:row>
    <x:row r="91">
      <x:c r="A91" s="44" t="str">
        <x:v>thermal-iec-class0-unfold.conf</x:v>
      </x:c>
      <x:c r="B91" s="44" t="str">
        <x:v>Class 0（IEC 变体，折叠屏展开态）</x:v>
      </x:c>
    </x:row>
    <x:row r="92">
      <x:c r="A92" s="44" t="str">
        <x:v>thermal-iec-youtube-unfold.conf</x:v>
      </x:c>
      <x:c r="B92" s="44" t="str">
        <x:v>YouTube（IEC 变体，折叠屏展开态）</x:v>
      </x:c>
    </x:row>
    <x:row r="93">
      <x:c r="A93" s="44" t="str">
        <x:v>thermal-iec-arvr-unfold.conf</x:v>
      </x:c>
      <x:c r="B93" s="44" t="str">
        <x:v>AR/VR（IEC 变体，折叠屏展开态）</x:v>
      </x:c>
    </x:row>
    <x:row r="94">
      <x:c r="A94" s="44" t="str">
        <x:v>thermal-iec-navigation-unfold.conf</x:v>
      </x:c>
      <x:c r="B94" s="44" t="str">
        <x:v>导航（IEC 变体，折叠屏展开态）</x:v>
      </x:c>
    </x:row>
    <x:row r="95">
      <x:c r="A95" s="44" t="str">
        <x:v>thermal-iec-video-unfold.conf</x:v>
      </x:c>
      <x:c r="B95" s="44" t="str">
        <x:v>视频（IEC 变体，折叠屏展开态）</x:v>
      </x:c>
    </x:row>
    <x:row r="96">
      <x:c r="A96" s="44" t="str">
        <x:v>thermal-iec-demo-unfold.conf</x:v>
      </x:c>
      <x:c r="B96" s="44" t="str">
        <x:v>演示（IEC 变体，折叠屏展开态）</x:v>
      </x:c>
    </x:row>
    <x:row r="97">
      <x:c r="A97" s="44" t="str">
        <x:v>thermal-iec-sptm-unfold.conf</x:v>
      </x:c>
      <x:c r="B97" s="44" t="str">
        <x:v>SPTM 安全（IEC 变体，折叠屏展开态）</x:v>
      </x:c>
    </x:row>
    <x:row r="98">
      <x:c r="A98" s="44" t="str">
        <x:v>thermal-iec-videochat-unfold.conf</x:v>
      </x:c>
      <x:c r="B98" s="44" t="str">
        <x:v>视频通话（IEC 变体，折叠屏展开态）</x:v>
      </x:c>
    </x:row>
    <x:row r="99">
      <x:c r="A99" s="44" t="str">
        <x:v>thermal-iec-camera-unfold.conf</x:v>
      </x:c>
      <x:c r="B99" s="44" t="str">
        <x:v>相机（IEC 变体，折叠屏展开态）</x:v>
      </x:c>
    </x:row>
    <x:row r="100">
      <x:c r="A100" s="44" t="str">
        <x:v>thermal-iec-4k-unfold.conf</x:v>
      </x:c>
      <x:c r="B100" s="44" t="str">
        <x:v>4K 录像（IEC 变体，折叠屏展开态）</x:v>
      </x:c>
    </x:row>
    <x:row r="101">
      <x:c r="A101" s="44" t="str">
        <x:v>thermal-iec-tgame-unfold.conf</x:v>
      </x:c>
      <x:c r="B101" s="44" t="str">
        <x:v>重度游戏（IEC 变体，折叠屏展开态）</x:v>
      </x:c>
    </x:row>
    <x:row r="102">
      <x:c r="A102" s="44" t="str">
        <x:v>thermal-iec-mgame-unfold.conf</x:v>
      </x:c>
      <x:c r="B102" s="44" t="str">
        <x:v>中度游戏（IEC 变体，折叠屏展开态）</x:v>
      </x:c>
    </x:row>
    <x:row r="103">
      <x:c r="A103" s="44" t="str">
        <x:v>thermal-iec-yuanshen-unfold.conf</x:v>
      </x:c>
      <x:c r="B103" s="44" t="str">
        <x:v>原神（IEC 变体，折叠屏展开态）</x:v>
      </x:c>
    </x:row>
    <x:row r="104">
      <x:c r="A104" s="44" t="str">
        <x:v>thermal-iec-per-normal-unfold.conf</x:v>
      </x:c>
      <x:c r="B104" s="44" t="str">
        <x:v>性能-常规（IEC 变体，折叠屏展开态）</x:v>
      </x:c>
    </x:row>
    <x:row r="105">
      <x:c r="A105" s="44" t="str">
        <x:v>thermal-iec-per-abnormal-unfold.conf</x:v>
      </x:c>
      <x:c r="B105" s="44" t="str">
        <x:v>性能-异常（IEC 变体，折叠屏展开态）</x:v>
      </x:c>
    </x:row>
    <x:row r="106">
      <x:c r="A106" s="44" t="str">
        <x:v>thermal-iec-per-class0-unfold.conf</x:v>
      </x:c>
      <x:c r="B106" s="44" t="str">
        <x:v>性能-Class0（IEC 变体，折叠屏展开态）</x:v>
      </x:c>
    </x:row>
    <x:row r="107">
      <x:c r="A107" s="44" t="str">
        <x:v>thermal-iec-per-youtube-unfold.conf</x:v>
      </x:c>
      <x:c r="B107" s="44" t="str">
        <x:v>性能-YouTube（IEC 变体，折叠屏展开态）</x:v>
      </x:c>
    </x:row>
    <x:row r="108">
      <x:c r="A108" s="44" t="str">
        <x:v>thermal-iec-per-navigation-unfold.conf</x:v>
      </x:c>
      <x:c r="B108" s="44" t="str">
        <x:v>性能-导航（IEC 变体，折叠屏展开态）</x:v>
      </x:c>
    </x:row>
    <x:row r="109">
      <x:c r="A109" s="44" t="str">
        <x:v>thermal-iec-per-video-unfold.conf</x:v>
      </x:c>
      <x:c r="B109" s="44" t="str">
        <x:v>性能-视频（IEC 变体，折叠屏展开态）</x:v>
      </x:c>
    </x:row>
    <x:row r="110">
      <x:c r="A110" s="44" t="str">
        <x:v>thermal-hp-normal.conf</x:v>
      </x:c>
      <x:c r="B110" s="44" t="str">
        <x:v>高性能-常规</x:v>
      </x:c>
    </x:row>
    <x:row r="111">
      <x:c r="A111" s="44" t="str">
        <x:v>thermal-hp-mgame.conf</x:v>
      </x:c>
      <x:c r="B111" s="44" t="str">
        <x:v>高性能-游戏</x:v>
      </x:c>
    </x:row>
    <x:row r="112">
      <x:c r="A112" s="44" t="str">
        <x:v>thermal-hp-normal-unfold.conf</x:v>
      </x:c>
      <x:c r="B112" s="44" t="str">
        <x:v>高性能-常规（折叠屏展开态）</x:v>
      </x:c>
    </x:row>
    <x:row r="113">
      <x:c r="A113" s="44" t="str">
        <x:v>thermal-hp-mgame-unfold.conf</x:v>
      </x:c>
      <x:c r="B113" s="44" t="str">
        <x:v>高性能-游戏（折叠屏展开态）</x:v>
      </x:c>
    </x:row>
    <x:row r="114">
      <x:c r="A114" s="44" t="str">
        <x:v>thermal-cgame.conf</x:v>
      </x:c>
      <x:c r="B114" s="44" t="str">
        <x:v>连续游戏</x:v>
      </x:c>
    </x:row>
    <x:row r="115">
      <x:c r="A115" s="44" t="str">
        <x:v>thermal-cclassvideo.conf</x:v>
      </x:c>
      <x:c r="B115" s="44" t="str">
        <x:v>连续视频</x:v>
      </x:c>
    </x:row>
    <x:row r="116">
      <x:c r="A116" s="44" t="str">
        <x:v>thermal-comp.conf</x:v>
      </x:c>
      <x:c r="B116" s="44" t="str">
        <x:v>对比模式</x:v>
      </x:c>
    </x:row>
    <x:row r="117">
      <x:c r="A117" s="44" t="str">
        <x:v>thermal-cvideo.conf</x:v>
      </x:c>
      <x:c r="B117" s="44" t="str">
        <x:v>连续视频</x:v>
      </x:c>
    </x:row>
    <x:row r="118">
      <x:c r="A118" s="44" t="str">
        <x:v>thermal-cgame-unfold.conf</x:v>
      </x:c>
      <x:c r="B118" s="44" t="str">
        <x:v>连续游戏（折叠屏展开态）</x:v>
      </x:c>
    </x:row>
    <x:row r="119">
      <x:c r="A119" s="44" t="str">
        <x:v>thermal-cclassvideo-unfold.conf</x:v>
      </x:c>
      <x:c r="B119" s="44" t="str">
        <x:v>连续视频（折叠屏展开态）</x:v>
      </x:c>
    </x:row>
  </x:sheetData>
  <x:mergeCells>
    <x:mergeCell ref="A1:C1"/>
  </x:mergeCells>
  <x:pageMargins left="0.7" right="0.7" top="0.75" bottom="0.75" header="0.3" footer="0.3"/>
</x:worksheet>
</file>